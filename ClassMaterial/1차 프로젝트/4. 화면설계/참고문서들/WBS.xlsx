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U\2차\"/>
    </mc:Choice>
  </mc:AlternateContent>
  <bookViews>
    <workbookView xWindow="0" yWindow="0" windowWidth="28800" windowHeight="1228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J7" i="1" s="1"/>
  <c r="K7" i="1" s="1"/>
  <c r="L7" i="1" s="1"/>
  <c r="M7" i="1" s="1"/>
  <c r="Q7" i="1" s="1"/>
  <c r="R7" i="1" s="1"/>
  <c r="S7" i="1" s="1"/>
  <c r="V7" i="1" s="1"/>
  <c r="W7" i="1" s="1"/>
  <c r="X7" i="1" s="1"/>
  <c r="AA7" i="1" s="1"/>
  <c r="AB7" i="1" s="1"/>
  <c r="AC7" i="1" s="1"/>
  <c r="AD7" i="1" s="1"/>
  <c r="AF7" i="1" l="1"/>
  <c r="AG7" i="1" s="1"/>
  <c r="AH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CU7" i="1" s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FD7" i="1" s="1"/>
  <c r="FE7" i="1" s="1"/>
  <c r="FF7" i="1" s="1"/>
  <c r="FG7" i="1" s="1"/>
  <c r="FH7" i="1" s="1"/>
  <c r="FI7" i="1" s="1"/>
  <c r="FJ7" i="1" s="1"/>
  <c r="FK7" i="1" s="1"/>
  <c r="FL7" i="1" s="1"/>
  <c r="FM7" i="1" s="1"/>
  <c r="FN7" i="1" s="1"/>
  <c r="FO7" i="1" s="1"/>
  <c r="FP7" i="1" s="1"/>
  <c r="FQ7" i="1" s="1"/>
  <c r="FR7" i="1" s="1"/>
  <c r="FS7" i="1" s="1"/>
  <c r="FT7" i="1" s="1"/>
  <c r="FU7" i="1" s="1"/>
  <c r="FV7" i="1" s="1"/>
  <c r="FW7" i="1" s="1"/>
  <c r="FX7" i="1" s="1"/>
  <c r="FY7" i="1" s="1"/>
  <c r="FZ7" i="1" s="1"/>
  <c r="GA7" i="1" s="1"/>
  <c r="GB7" i="1" s="1"/>
  <c r="GC7" i="1" s="1"/>
  <c r="GD7" i="1" s="1"/>
  <c r="GE7" i="1" s="1"/>
  <c r="GF7" i="1" s="1"/>
  <c r="GG7" i="1" s="1"/>
  <c r="GH7" i="1" s="1"/>
  <c r="GI7" i="1" s="1"/>
  <c r="GJ7" i="1" s="1"/>
  <c r="GK7" i="1" s="1"/>
  <c r="GL7" i="1" s="1"/>
  <c r="GM7" i="1" s="1"/>
  <c r="GN7" i="1" s="1"/>
  <c r="GO7" i="1" s="1"/>
  <c r="GP7" i="1" s="1"/>
  <c r="GQ7" i="1" s="1"/>
  <c r="GR7" i="1" s="1"/>
  <c r="GS7" i="1" s="1"/>
  <c r="GT7" i="1" s="1"/>
  <c r="GU7" i="1" s="1"/>
  <c r="GV7" i="1" s="1"/>
  <c r="GW7" i="1" s="1"/>
  <c r="GX7" i="1" s="1"/>
  <c r="GY7" i="1" s="1"/>
  <c r="GZ7" i="1" s="1"/>
  <c r="HA7" i="1" s="1"/>
  <c r="HB7" i="1" s="1"/>
  <c r="HC7" i="1" s="1"/>
  <c r="HD7" i="1" s="1"/>
  <c r="HE7" i="1" s="1"/>
  <c r="HF7" i="1" s="1"/>
  <c r="HG7" i="1" s="1"/>
  <c r="HH7" i="1" s="1"/>
  <c r="HI7" i="1" s="1"/>
  <c r="HJ7" i="1" s="1"/>
  <c r="HK7" i="1" s="1"/>
  <c r="HL7" i="1" s="1"/>
  <c r="HM7" i="1" s="1"/>
  <c r="HN7" i="1" s="1"/>
  <c r="HO7" i="1" s="1"/>
  <c r="HP7" i="1" s="1"/>
  <c r="HQ7" i="1" s="1"/>
  <c r="HR7" i="1" s="1"/>
  <c r="HS7" i="1" s="1"/>
  <c r="HT7" i="1" s="1"/>
  <c r="HU7" i="1" s="1"/>
  <c r="HV7" i="1" s="1"/>
  <c r="J8" i="1"/>
  <c r="K8" i="1"/>
  <c r="L8" i="1"/>
  <c r="M8" i="1"/>
  <c r="I8" i="1"/>
  <c r="AT6" i="1" l="1"/>
  <c r="AY8" i="1" l="1"/>
  <c r="AZ8" i="1" l="1"/>
  <c r="BA8" i="1" l="1"/>
  <c r="BB8" i="1" l="1"/>
  <c r="BC8" i="1" l="1"/>
  <c r="BD8" i="1" l="1"/>
  <c r="BE8" i="1" l="1"/>
  <c r="BF8" i="1" l="1"/>
  <c r="BG8" i="1" l="1"/>
  <c r="BH8" i="1" l="1"/>
  <c r="BI8" i="1" l="1"/>
  <c r="BJ8" i="1" l="1"/>
  <c r="BK8" i="1" l="1"/>
  <c r="BL8" i="1" l="1"/>
  <c r="BM8" i="1" l="1"/>
  <c r="BN8" i="1" l="1"/>
  <c r="BO8" i="1" l="1"/>
  <c r="BP8" i="1" l="1"/>
  <c r="BP6" i="1" l="1"/>
  <c r="BQ8" i="1"/>
  <c r="BR8" i="1" l="1"/>
  <c r="BS8" i="1" l="1"/>
  <c r="BT8" i="1" l="1"/>
  <c r="BU8" i="1" l="1"/>
  <c r="BV8" i="1" l="1"/>
  <c r="BW8" i="1" l="1"/>
  <c r="BX8" i="1" l="1"/>
  <c r="BY8" i="1" l="1"/>
  <c r="BZ8" i="1" l="1"/>
  <c r="CA8" i="1" l="1"/>
  <c r="CB8" i="1" l="1"/>
  <c r="CC8" i="1" l="1"/>
  <c r="CD8" i="1" l="1"/>
  <c r="CE8" i="1" l="1"/>
  <c r="CF8" i="1" l="1"/>
  <c r="CG8" i="1" l="1"/>
  <c r="CH8" i="1" l="1"/>
  <c r="CI8" i="1" l="1"/>
  <c r="CJ8" i="1" l="1"/>
  <c r="CK8" i="1" l="1"/>
  <c r="CL8" i="1" l="1"/>
  <c r="CH6" i="1" l="1"/>
  <c r="CM8" i="1"/>
  <c r="CN8" i="1" l="1"/>
  <c r="CO8" i="1" l="1"/>
  <c r="CP8" i="1" l="1"/>
  <c r="CQ8" i="1" l="1"/>
  <c r="CR8" i="1" l="1"/>
  <c r="CS8" i="1" l="1"/>
  <c r="CT8" i="1" l="1"/>
  <c r="CU8" i="1" l="1"/>
  <c r="CV8" i="1" l="1"/>
  <c r="CW8" i="1" l="1"/>
  <c r="CX8" i="1" l="1"/>
  <c r="CY8" i="1" l="1"/>
  <c r="CZ8" i="1" l="1"/>
  <c r="DA8" i="1" l="1"/>
  <c r="DB8" i="1" l="1"/>
  <c r="DC8" i="1" l="1"/>
  <c r="DD8" i="1" l="1"/>
  <c r="DE8" i="1" l="1"/>
  <c r="DF8" i="1" l="1"/>
  <c r="DG8" i="1" l="1"/>
  <c r="DB6" i="1" l="1"/>
  <c r="DH8" i="1"/>
  <c r="DI8" i="1" l="1"/>
  <c r="DJ8" i="1" l="1"/>
  <c r="DK8" i="1" l="1"/>
  <c r="DL8" i="1" l="1"/>
  <c r="DM8" i="1" l="1"/>
  <c r="DN8" i="1" l="1"/>
  <c r="DO8" i="1" l="1"/>
  <c r="DP8" i="1" l="1"/>
  <c r="DQ8" i="1" l="1"/>
  <c r="DR8" i="1" l="1"/>
  <c r="DS8" i="1" l="1"/>
  <c r="DT8" i="1" l="1"/>
  <c r="DU8" i="1" l="1"/>
  <c r="DV8" i="1" l="1"/>
  <c r="DW8" i="1" l="1"/>
  <c r="DX8" i="1" l="1"/>
  <c r="DY8" i="1" l="1"/>
  <c r="DZ8" i="1" l="1"/>
  <c r="EA8" i="1" l="1"/>
  <c r="EB8" i="1" l="1"/>
  <c r="EC8" i="1" l="1"/>
  <c r="ED8" i="1" l="1"/>
  <c r="DY6" i="1" l="1"/>
  <c r="EE8" i="1"/>
  <c r="EF8" i="1" l="1"/>
  <c r="EG8" i="1" l="1"/>
  <c r="EH8" i="1" l="1"/>
  <c r="EI8" i="1" l="1"/>
  <c r="EJ8" i="1" l="1"/>
  <c r="EK8" i="1" l="1"/>
  <c r="EL8" i="1" l="1"/>
  <c r="EM8" i="1" l="1"/>
  <c r="EN8" i="1" l="1"/>
  <c r="EO8" i="1" l="1"/>
  <c r="EP8" i="1" l="1"/>
  <c r="EQ8" i="1" l="1"/>
  <c r="ER8" i="1" l="1"/>
  <c r="ES8" i="1" l="1"/>
  <c r="ET8" i="1" l="1"/>
  <c r="EU8" i="1" l="1"/>
  <c r="EV8" i="1" l="1"/>
  <c r="EW8" i="1" l="1"/>
  <c r="EX8" i="1" l="1"/>
  <c r="EY8" i="1" l="1"/>
  <c r="ES6" i="1" l="1"/>
  <c r="EZ8" i="1"/>
  <c r="FA8" i="1" l="1"/>
  <c r="FB8" i="1" l="1"/>
  <c r="FC8" i="1" l="1"/>
  <c r="FD8" i="1" l="1"/>
  <c r="FE8" i="1" l="1"/>
  <c r="FF8" i="1" l="1"/>
  <c r="FG8" i="1" l="1"/>
  <c r="FH8" i="1" l="1"/>
  <c r="FI8" i="1" l="1"/>
  <c r="FJ8" i="1" l="1"/>
  <c r="FK8" i="1" l="1"/>
  <c r="FL8" i="1" l="1"/>
  <c r="FM8" i="1" l="1"/>
  <c r="FN8" i="1" l="1"/>
  <c r="FO8" i="1" l="1"/>
  <c r="FP8" i="1" l="1"/>
  <c r="FQ8" i="1" l="1"/>
  <c r="FR8" i="1" l="1"/>
  <c r="FS8" i="1" l="1"/>
  <c r="FT8" i="1" l="1"/>
  <c r="FU8" i="1" l="1"/>
  <c r="FO6" i="1" l="1"/>
  <c r="FV8" i="1"/>
  <c r="FW8" i="1" l="1"/>
  <c r="FX8" i="1" l="1"/>
  <c r="FY8" i="1" l="1"/>
  <c r="FZ8" i="1" l="1"/>
  <c r="GA8" i="1" l="1"/>
  <c r="GB8" i="1" l="1"/>
  <c r="GC8" i="1" l="1"/>
  <c r="GD8" i="1" l="1"/>
  <c r="GE8" i="1" l="1"/>
  <c r="GF8" i="1" l="1"/>
  <c r="GG8" i="1" l="1"/>
  <c r="GH8" i="1" l="1"/>
  <c r="GI8" i="1" l="1"/>
  <c r="GJ8" i="1" l="1"/>
  <c r="GK8" i="1" l="1"/>
  <c r="GL8" i="1" l="1"/>
  <c r="GM8" i="1" l="1"/>
  <c r="GN8" i="1" l="1"/>
  <c r="GO8" i="1" l="1"/>
  <c r="GP8" i="1" l="1"/>
  <c r="GQ8" i="1" l="1"/>
  <c r="GR8" i="1" l="1"/>
  <c r="GG6" i="1" l="1"/>
  <c r="GS8" i="1"/>
  <c r="GT8" i="1" l="1"/>
  <c r="GU8" i="1" l="1"/>
  <c r="GV8" i="1" l="1"/>
  <c r="GW8" i="1" l="1"/>
  <c r="GX8" i="1" l="1"/>
  <c r="GY8" i="1" l="1"/>
  <c r="GZ8" i="1" l="1"/>
  <c r="HA8" i="1" l="1"/>
  <c r="HB8" i="1" l="1"/>
  <c r="HC8" i="1" l="1"/>
  <c r="HD8" i="1" l="1"/>
  <c r="HE8" i="1" l="1"/>
  <c r="HF8" i="1" l="1"/>
  <c r="HG8" i="1" l="1"/>
  <c r="HH8" i="1" l="1"/>
  <c r="HI8" i="1" l="1"/>
  <c r="HJ8" i="1" l="1"/>
  <c r="HK8" i="1" l="1"/>
  <c r="HL8" i="1" l="1"/>
  <c r="HA6" i="1" l="1"/>
  <c r="HM8" i="1"/>
  <c r="HN8" i="1" l="1"/>
  <c r="HO8" i="1" l="1"/>
  <c r="HP8" i="1" l="1"/>
  <c r="HQ8" i="1" l="1"/>
  <c r="HR8" i="1" l="1"/>
  <c r="HS8" i="1" l="1"/>
  <c r="HT8" i="1" l="1"/>
  <c r="HU8" i="1" l="1"/>
  <c r="HV8" i="1" l="1"/>
</calcChain>
</file>

<file path=xl/sharedStrings.xml><?xml version="1.0" encoding="utf-8"?>
<sst xmlns="http://schemas.openxmlformats.org/spreadsheetml/2006/main" count="358" uniqueCount="165">
  <si>
    <t>항목</t>
    <phoneticPr fontId="1" type="noConversion"/>
  </si>
  <si>
    <t>세부작업</t>
    <phoneticPr fontId="1" type="noConversion"/>
  </si>
  <si>
    <t>담당</t>
    <phoneticPr fontId="1" type="noConversion"/>
  </si>
  <si>
    <t>시작일</t>
    <phoneticPr fontId="1" type="noConversion"/>
  </si>
  <si>
    <t>종료일</t>
    <phoneticPr fontId="1" type="noConversion"/>
  </si>
  <si>
    <t>프로젝트명</t>
    <phoneticPr fontId="1" type="noConversion"/>
  </si>
  <si>
    <t>프로젝트 개요</t>
    <phoneticPr fontId="1" type="noConversion"/>
  </si>
  <si>
    <t>목적</t>
    <phoneticPr fontId="1" type="noConversion"/>
  </si>
  <si>
    <t>총 개발 기간</t>
    <phoneticPr fontId="1" type="noConversion"/>
  </si>
  <si>
    <t>주요기능</t>
    <phoneticPr fontId="1" type="noConversion"/>
  </si>
  <si>
    <t>WBS
번호</t>
    <phoneticPr fontId="1" type="noConversion"/>
  </si>
  <si>
    <t>휴일</t>
  </si>
  <si>
    <t>내용</t>
  </si>
  <si>
    <t>신정</t>
  </si>
  <si>
    <t>명절</t>
  </si>
  <si>
    <t xml:space="preserve">   설날 연휴 </t>
  </si>
  <si>
    <t xml:space="preserve">    3·1절</t>
  </si>
  <si>
    <t>3.1절대체휴일</t>
  </si>
  <si>
    <t>근로자의날</t>
  </si>
  <si>
    <t>징검다리</t>
  </si>
  <si>
    <t xml:space="preserve">    어린이날</t>
  </si>
  <si>
    <t xml:space="preserve">   대체휴일</t>
  </si>
  <si>
    <t xml:space="preserve">   현충일</t>
  </si>
  <si>
    <t xml:space="preserve">    광복절</t>
  </si>
  <si>
    <t xml:space="preserve">   추석 </t>
  </si>
  <si>
    <t xml:space="preserve">  추석 연휴 </t>
  </si>
  <si>
    <t xml:space="preserve">   개천절</t>
  </si>
  <si>
    <t xml:space="preserve">   한글날</t>
  </si>
  <si>
    <t xml:space="preserve">   성탄절 </t>
  </si>
  <si>
    <t>설날</t>
  </si>
  <si>
    <t>대체</t>
  </si>
  <si>
    <t>요구사항 분석</t>
  </si>
  <si>
    <t>진행
사항</t>
    <phoneticPr fontId="1" type="noConversion"/>
  </si>
  <si>
    <t>프로젝트 목표 및 범위 정의</t>
  </si>
  <si>
    <t>1개월</t>
  </si>
  <si>
    <t>사용자 요구사항 수집 및 분석</t>
  </si>
  <si>
    <t>예정</t>
  </si>
  <si>
    <t>기획 및 설계</t>
  </si>
  <si>
    <t>프로젝트 일정 수립 및 자원 할당</t>
  </si>
  <si>
    <t>UI/UX 와이어프레임 및 프로토타입 생성</t>
  </si>
  <si>
    <t>개발 환경 설정</t>
  </si>
  <si>
    <t>Git 및 코드 관리 시스템 설정</t>
  </si>
  <si>
    <t>0.5개월</t>
  </si>
  <si>
    <t>2개월</t>
  </si>
  <si>
    <t>테스트</t>
  </si>
  <si>
    <t>단위 테스트 (Unit Testing)</t>
  </si>
  <si>
    <t>통합 테스트 (Integration Testing)</t>
  </si>
  <si>
    <t>시스템 테스트 (System Testing)</t>
  </si>
  <si>
    <t>사용자 수용 테스트 (UAT)</t>
  </si>
  <si>
    <t>지속</t>
  </si>
  <si>
    <t>완료</t>
    <phoneticPr fontId="1" type="noConversion"/>
  </si>
  <si>
    <t>진행중</t>
    <phoneticPr fontId="1" type="noConversion"/>
  </si>
  <si>
    <t>진행중</t>
    <phoneticPr fontId="1" type="noConversion"/>
  </si>
  <si>
    <t>작업
기간</t>
    <phoneticPr fontId="1" type="noConversion"/>
  </si>
  <si>
    <t>화</t>
  </si>
  <si>
    <t>수</t>
  </si>
  <si>
    <t>목</t>
  </si>
  <si>
    <t>금</t>
  </si>
  <si>
    <t>건물 관리 자동화 및 간편한 보수 유지</t>
    <phoneticPr fontId="1" type="noConversion"/>
  </si>
  <si>
    <t>1. 데이터 현황 관측
2. 알림 시스템으로 즉각적인 처리 가능
3. 간편한 조작으로 인한 쉬운 관리
4. 데이터 내역 관리</t>
    <phoneticPr fontId="1" type="noConversion"/>
  </si>
  <si>
    <t>월</t>
    <phoneticPr fontId="1" type="noConversion"/>
  </si>
  <si>
    <t>금</t>
    <phoneticPr fontId="1" type="noConversion"/>
  </si>
  <si>
    <t>월</t>
    <phoneticPr fontId="1" type="noConversion"/>
  </si>
  <si>
    <t>금</t>
    <phoneticPr fontId="1" type="noConversion"/>
  </si>
  <si>
    <t>11월 5일</t>
    <phoneticPr fontId="1" type="noConversion"/>
  </si>
  <si>
    <t>11월 11일</t>
    <phoneticPr fontId="1" type="noConversion"/>
  </si>
  <si>
    <t>11월 17일</t>
    <phoneticPr fontId="1" type="noConversion"/>
  </si>
  <si>
    <t>11월 18일</t>
  </si>
  <si>
    <t>11월 20일</t>
  </si>
  <si>
    <t>11월 27일</t>
    <phoneticPr fontId="1" type="noConversion"/>
  </si>
  <si>
    <t>12월 01일</t>
    <phoneticPr fontId="1" type="noConversion"/>
  </si>
  <si>
    <t>12월 11일</t>
    <phoneticPr fontId="1" type="noConversion"/>
  </si>
  <si>
    <t>12월 9일</t>
    <phoneticPr fontId="1" type="noConversion"/>
  </si>
  <si>
    <t>12월 11일</t>
    <phoneticPr fontId="1" type="noConversion"/>
  </si>
  <si>
    <t>5일</t>
    <phoneticPr fontId="1" type="noConversion"/>
  </si>
  <si>
    <t>7일</t>
    <phoneticPr fontId="1" type="noConversion"/>
  </si>
  <si>
    <t>1일</t>
    <phoneticPr fontId="1" type="noConversion"/>
  </si>
  <si>
    <t>4일</t>
    <phoneticPr fontId="1" type="noConversion"/>
  </si>
  <si>
    <t>2일</t>
    <phoneticPr fontId="1" type="noConversion"/>
  </si>
  <si>
    <t>ABCD (Auto Building Care Diagnostics)</t>
    <phoneticPr fontId="1" type="noConversion"/>
  </si>
  <si>
    <t>2조</t>
    <phoneticPr fontId="1" type="noConversion"/>
  </si>
  <si>
    <t>박승찬</t>
    <phoneticPr fontId="1" type="noConversion"/>
  </si>
  <si>
    <t>Login(로그인)</t>
    <phoneticPr fontId="1" type="noConversion"/>
  </si>
  <si>
    <t>Floors(건물 보기 페이지)</t>
    <phoneticPr fontId="1" type="noConversion"/>
  </si>
  <si>
    <t>ElecData(전력 현황 페이지)</t>
    <phoneticPr fontId="1" type="noConversion"/>
  </si>
  <si>
    <t>GasData(가스 현황 페이지)</t>
    <phoneticPr fontId="1" type="noConversion"/>
  </si>
  <si>
    <t>WaterData (수도 현황 페이지)</t>
    <phoneticPr fontId="1" type="noConversion"/>
  </si>
  <si>
    <t>TempData (온도 현황 페이지)</t>
    <phoneticPr fontId="1" type="noConversion"/>
  </si>
  <si>
    <t>Problems(문제 내역 페이지)</t>
    <phoneticPr fontId="1" type="noConversion"/>
  </si>
  <si>
    <t>Log(기록 페이지)</t>
    <phoneticPr fontId="1" type="noConversion"/>
  </si>
  <si>
    <t>Admin(건물 관리자 페이지)</t>
    <phoneticPr fontId="1" type="noConversion"/>
  </si>
  <si>
    <t>Master(사이트 관리자 페이지)</t>
    <phoneticPr fontId="1" type="noConversion"/>
  </si>
  <si>
    <t>Alarm (우측 알림내역)</t>
    <phoneticPr fontId="1" type="noConversion"/>
  </si>
  <si>
    <t>요구사항 문서 작성 및 검토</t>
    <phoneticPr fontId="1" type="noConversion"/>
  </si>
  <si>
    <t>11월 18일</t>
    <phoneticPr fontId="1" type="noConversion"/>
  </si>
  <si>
    <t>Main(메인페이지)</t>
    <phoneticPr fontId="1" type="noConversion"/>
  </si>
  <si>
    <t>설계 단계</t>
    <phoneticPr fontId="1" type="noConversion"/>
  </si>
  <si>
    <t>4일</t>
    <phoneticPr fontId="1" type="noConversion"/>
  </si>
  <si>
    <t>3일</t>
    <phoneticPr fontId="1" type="noConversion"/>
  </si>
  <si>
    <t>금</t>
    <phoneticPr fontId="1" type="noConversion"/>
  </si>
  <si>
    <t>목</t>
    <phoneticPr fontId="1" type="noConversion"/>
  </si>
  <si>
    <t>주총민</t>
    <phoneticPr fontId="1" type="noConversion"/>
  </si>
  <si>
    <t>이예준</t>
    <phoneticPr fontId="1" type="noConversion"/>
  </si>
  <si>
    <t>개발 환경 설정</t>
    <phoneticPr fontId="1" type="noConversion"/>
  </si>
  <si>
    <t>기술 스택 결정</t>
    <phoneticPr fontId="1" type="noConversion"/>
  </si>
  <si>
    <t>11월 24일</t>
    <phoneticPr fontId="1" type="noConversion"/>
  </si>
  <si>
    <t>박승찬</t>
    <phoneticPr fontId="1" type="noConversion"/>
  </si>
  <si>
    <t>박승찬</t>
    <phoneticPr fontId="1" type="noConversion"/>
  </si>
  <si>
    <t>전서영</t>
    <phoneticPr fontId="1" type="noConversion"/>
  </si>
  <si>
    <t>이예준</t>
    <phoneticPr fontId="1" type="noConversion"/>
  </si>
  <si>
    <t>주총민</t>
    <phoneticPr fontId="1" type="noConversion"/>
  </si>
  <si>
    <t>이예준</t>
    <phoneticPr fontId="1" type="noConversion"/>
  </si>
  <si>
    <t>2조</t>
    <phoneticPr fontId="1" type="noConversion"/>
  </si>
  <si>
    <t>이예준</t>
    <phoneticPr fontId="1" type="noConversion"/>
  </si>
  <si>
    <t>11월 19일</t>
    <phoneticPr fontId="1" type="noConversion"/>
  </si>
  <si>
    <t>11월 20일</t>
    <phoneticPr fontId="1" type="noConversion"/>
  </si>
  <si>
    <t>11월 20일</t>
    <phoneticPr fontId="1" type="noConversion"/>
  </si>
  <si>
    <t>3일</t>
    <phoneticPr fontId="1" type="noConversion"/>
  </si>
  <si>
    <t>3일</t>
    <phoneticPr fontId="1" type="noConversion"/>
  </si>
  <si>
    <t>11월 14일</t>
    <phoneticPr fontId="1" type="noConversion"/>
  </si>
  <si>
    <t>1일</t>
    <phoneticPr fontId="1" type="noConversion"/>
  </si>
  <si>
    <t>2일</t>
    <phoneticPr fontId="1" type="noConversion"/>
  </si>
  <si>
    <t>1일</t>
    <phoneticPr fontId="1" type="noConversion"/>
  </si>
  <si>
    <t>1일</t>
    <phoneticPr fontId="1" type="noConversion"/>
  </si>
  <si>
    <t>1일</t>
    <phoneticPr fontId="1" type="noConversion"/>
  </si>
  <si>
    <t>3일</t>
    <phoneticPr fontId="1" type="noConversion"/>
  </si>
  <si>
    <t>11일</t>
    <phoneticPr fontId="1" type="noConversion"/>
  </si>
  <si>
    <t>7일</t>
    <phoneticPr fontId="1" type="noConversion"/>
  </si>
  <si>
    <t>11월 25일</t>
    <phoneticPr fontId="1" type="noConversion"/>
  </si>
  <si>
    <t>11월 20일</t>
    <phoneticPr fontId="1" type="noConversion"/>
  </si>
  <si>
    <t>11월 28일</t>
    <phoneticPr fontId="1" type="noConversion"/>
  </si>
  <si>
    <t>7일</t>
    <phoneticPr fontId="1" type="noConversion"/>
  </si>
  <si>
    <t>11월 20일</t>
    <phoneticPr fontId="1" type="noConversion"/>
  </si>
  <si>
    <t>11월 28일</t>
    <phoneticPr fontId="1" type="noConversion"/>
  </si>
  <si>
    <t>12월 09일</t>
    <phoneticPr fontId="1" type="noConversion"/>
  </si>
  <si>
    <t>12월 10일</t>
    <phoneticPr fontId="1" type="noConversion"/>
  </si>
  <si>
    <t>12월 11일</t>
    <phoneticPr fontId="1" type="noConversion"/>
  </si>
  <si>
    <t>11일</t>
    <phoneticPr fontId="1" type="noConversion"/>
  </si>
  <si>
    <t>12월 8일</t>
    <phoneticPr fontId="1" type="noConversion"/>
  </si>
  <si>
    <t>11월 17일 - 12월 12일</t>
    <phoneticPr fontId="1" type="noConversion"/>
  </si>
  <si>
    <t>데이터 가공 및 관리</t>
    <phoneticPr fontId="1" type="noConversion"/>
  </si>
  <si>
    <t>팀장</t>
    <phoneticPr fontId="1" type="noConversion"/>
  </si>
  <si>
    <t>주총민</t>
    <phoneticPr fontId="1" type="noConversion"/>
  </si>
  <si>
    <t>디자인</t>
    <phoneticPr fontId="1" type="noConversion"/>
  </si>
  <si>
    <t>박승찬</t>
    <phoneticPr fontId="1" type="noConversion"/>
  </si>
  <si>
    <t>FE</t>
    <phoneticPr fontId="1" type="noConversion"/>
  </si>
  <si>
    <t>이예준 ,전서영</t>
    <phoneticPr fontId="1" type="noConversion"/>
  </si>
  <si>
    <t>테스터</t>
    <phoneticPr fontId="1" type="noConversion"/>
  </si>
  <si>
    <t>2조</t>
    <phoneticPr fontId="1" type="noConversion"/>
  </si>
  <si>
    <t>Login (로그인)</t>
    <phoneticPr fontId="1" type="noConversion"/>
  </si>
  <si>
    <t>Main (메인페이지)</t>
    <phoneticPr fontId="1" type="noConversion"/>
  </si>
  <si>
    <t>Floors (건물 보기 페이지)</t>
    <phoneticPr fontId="1" type="noConversion"/>
  </si>
  <si>
    <t>ElecData (전력 현황 페이지)</t>
    <phoneticPr fontId="1" type="noConversion"/>
  </si>
  <si>
    <t>GasData (가스 현황 페이지)</t>
    <phoneticPr fontId="1" type="noConversion"/>
  </si>
  <si>
    <t>Problems (문제 내역 페이지)</t>
    <phoneticPr fontId="1" type="noConversion"/>
  </si>
  <si>
    <t>Log (기록 페이지)</t>
    <phoneticPr fontId="1" type="noConversion"/>
  </si>
  <si>
    <t>Admin (건물 관리자 페이지)</t>
    <phoneticPr fontId="1" type="noConversion"/>
  </si>
  <si>
    <t>Master (사이트 관리자 페이지)</t>
    <phoneticPr fontId="1" type="noConversion"/>
  </si>
  <si>
    <t>11월 19일</t>
    <phoneticPr fontId="1" type="noConversion"/>
  </si>
  <si>
    <t>주총민</t>
    <phoneticPr fontId="1" type="noConversion"/>
  </si>
  <si>
    <t>완료</t>
    <phoneticPr fontId="1" type="noConversion"/>
  </si>
  <si>
    <t>완료</t>
    <phoneticPr fontId="1" type="noConversion"/>
  </si>
  <si>
    <t>Elevators(승강기 조작페이지)</t>
    <phoneticPr fontId="1" type="noConversion"/>
  </si>
  <si>
    <t>FloorControl (층별 조작 페이지)</t>
  </si>
  <si>
    <t>개발 단계 
(핵심 기능 개발)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</si>
</sst>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dd"/>
    <numFmt numFmtId="177" formatCode="aaa"/>
    <numFmt numFmtId="178" formatCode="m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4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178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8" fontId="0" fillId="0" borderId="2" xfId="0" applyNumberFormat="1" applyBorder="1" applyAlignment="1">
      <alignment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shrinkToFit="1"/>
    </xf>
    <xf numFmtId="0" fontId="0" fillId="2" borderId="1" xfId="0" applyFill="1" applyBorder="1" applyAlignment="1">
      <alignment vertical="center" shrinkToFit="1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  <xf numFmtId="0" fontId="6" fillId="3" borderId="1" xfId="0" applyFont="1" applyFill="1" applyBorder="1">
      <alignment vertical="center"/>
    </xf>
    <xf numFmtId="0" fontId="0" fillId="0" borderId="3" xfId="0" applyBorder="1" applyAlignment="1">
      <alignment horizontal="left" vertical="center" indent="1"/>
    </xf>
    <xf numFmtId="0" fontId="0" fillId="0" borderId="3" xfId="0" quotePrefix="1" applyBorder="1" applyAlignment="1">
      <alignment horizontal="left" vertical="center" wrapText="1" indent="1"/>
    </xf>
    <xf numFmtId="0" fontId="7" fillId="0" borderId="1" xfId="0" applyFont="1" applyBorder="1" applyAlignment="1">
      <alignment vertical="center" shrinkToFit="1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quotePrefix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3" xfId="0" quotePrefix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3" xfId="0" quotePrefix="1" applyBorder="1" applyAlignment="1">
      <alignment horizontal="left" vertical="center" wrapText="1" indent="1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shrinkToFit="1"/>
    </xf>
    <xf numFmtId="0" fontId="0" fillId="5" borderId="1" xfId="0" applyFill="1" applyBorder="1" applyAlignment="1">
      <alignment vertical="center" shrinkToFit="1"/>
    </xf>
    <xf numFmtId="0" fontId="3" fillId="5" borderId="7" xfId="0" applyFont="1" applyFill="1" applyBorder="1" applyAlignment="1">
      <alignment horizontal="center" vertical="center" shrinkToFit="1"/>
    </xf>
    <xf numFmtId="0" fontId="3" fillId="5" borderId="8" xfId="0" applyFont="1" applyFill="1" applyBorder="1" applyAlignment="1">
      <alignment horizontal="center" vertical="center" shrinkToFit="1"/>
    </xf>
    <xf numFmtId="0" fontId="3" fillId="6" borderId="3" xfId="0" applyFont="1" applyFill="1" applyBorder="1" applyAlignment="1">
      <alignment horizontal="center" vertical="center" shrinkToFit="1"/>
    </xf>
    <xf numFmtId="0" fontId="0" fillId="6" borderId="1" xfId="0" applyFill="1" applyBorder="1" applyAlignment="1">
      <alignment vertical="center" shrinkToFit="1"/>
    </xf>
    <xf numFmtId="0" fontId="3" fillId="6" borderId="8" xfId="0" applyFont="1" applyFill="1" applyBorder="1" applyAlignment="1">
      <alignment horizontal="center" vertical="center" shrinkToFit="1"/>
    </xf>
    <xf numFmtId="0" fontId="0" fillId="6" borderId="1" xfId="0" applyFill="1" applyBorder="1">
      <alignment vertical="center"/>
    </xf>
    <xf numFmtId="0" fontId="4" fillId="9" borderId="7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vertical="center" shrinkToFit="1"/>
    </xf>
    <xf numFmtId="0" fontId="7" fillId="5" borderId="1" xfId="0" applyFont="1" applyFill="1" applyBorder="1" applyAlignment="1">
      <alignment vertical="center" shrinkToFit="1"/>
    </xf>
    <xf numFmtId="0" fontId="4" fillId="10" borderId="3" xfId="0" applyFont="1" applyFill="1" applyBorder="1" applyAlignment="1">
      <alignment horizontal="center" vertical="center" shrinkToFit="1"/>
    </xf>
    <xf numFmtId="0" fontId="4" fillId="10" borderId="7" xfId="0" applyFont="1" applyFill="1" applyBorder="1" applyAlignment="1">
      <alignment horizontal="center" vertical="center" shrinkToFit="1"/>
    </xf>
    <xf numFmtId="0" fontId="4" fillId="10" borderId="8" xfId="0" applyFont="1" applyFill="1" applyBorder="1" applyAlignment="1">
      <alignment horizontal="center" vertical="center" shrinkToFit="1"/>
    </xf>
    <xf numFmtId="0" fontId="3" fillId="7" borderId="3" xfId="0" applyFont="1" applyFill="1" applyBorder="1" applyAlignment="1">
      <alignment horizontal="center" vertical="center" shrinkToFit="1"/>
    </xf>
    <xf numFmtId="0" fontId="0" fillId="7" borderId="1" xfId="0" applyFill="1" applyBorder="1" applyAlignment="1">
      <alignment vertical="center" shrinkToFit="1"/>
    </xf>
    <xf numFmtId="0" fontId="3" fillId="7" borderId="8" xfId="0" applyFont="1" applyFill="1" applyBorder="1" applyAlignment="1">
      <alignment horizontal="center" vertical="center" shrinkToFit="1"/>
    </xf>
    <xf numFmtId="0" fontId="0" fillId="7" borderId="1" xfId="0" applyFill="1" applyBorder="1">
      <alignment vertical="center"/>
    </xf>
    <xf numFmtId="0" fontId="0" fillId="5" borderId="1" xfId="0" applyFill="1" applyBorder="1">
      <alignment vertical="center"/>
    </xf>
    <xf numFmtId="0" fontId="3" fillId="7" borderId="7" xfId="0" applyFont="1" applyFill="1" applyBorder="1" applyAlignment="1">
      <alignment horizontal="center" vertical="center" shrinkToFit="1"/>
    </xf>
    <xf numFmtId="0" fontId="0" fillId="4" borderId="1" xfId="0" applyFill="1" applyBorder="1">
      <alignment vertical="center"/>
    </xf>
    <xf numFmtId="0" fontId="0" fillId="9" borderId="1" xfId="0" applyFill="1" applyBorder="1">
      <alignment vertical="center"/>
    </xf>
    <xf numFmtId="0" fontId="4" fillId="9" borderId="7" xfId="0" applyFont="1" applyFill="1" applyBorder="1" applyAlignment="1">
      <alignment horizontal="center" vertical="center" wrapText="1" shrinkToFit="1"/>
    </xf>
    <xf numFmtId="0" fontId="5" fillId="11" borderId="1" xfId="0" applyFont="1" applyFill="1" applyBorder="1" applyAlignment="1">
      <alignment vertical="center" shrinkToFit="1"/>
    </xf>
    <xf numFmtId="0" fontId="0" fillId="11" borderId="1" xfId="0" applyFill="1" applyBorder="1">
      <alignment vertical="center"/>
    </xf>
    <xf numFmtId="0" fontId="5" fillId="12" borderId="1" xfId="0" applyFont="1" applyFill="1" applyBorder="1" applyAlignment="1">
      <alignment vertical="center" shrinkToFit="1"/>
    </xf>
    <xf numFmtId="0" fontId="0" fillId="12" borderId="1" xfId="0" applyFill="1" applyBorder="1">
      <alignment vertical="center"/>
    </xf>
    <xf numFmtId="0" fontId="5" fillId="4" borderId="1" xfId="0" applyFont="1" applyFill="1" applyBorder="1" applyAlignment="1">
      <alignment vertical="center" shrinkToFit="1"/>
    </xf>
    <xf numFmtId="0" fontId="5" fillId="13" borderId="1" xfId="0" applyFont="1" applyFill="1" applyBorder="1" applyAlignment="1">
      <alignment vertical="center" shrinkToFit="1"/>
    </xf>
    <xf numFmtId="0" fontId="0" fillId="13" borderId="1" xfId="0" applyFill="1" applyBorder="1">
      <alignment vertical="center"/>
    </xf>
    <xf numFmtId="0" fontId="0" fillId="0" borderId="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158"/>
  <sheetViews>
    <sheetView tabSelected="1" zoomScaleNormal="100" workbookViewId="0">
      <pane xSplit="8" ySplit="8" topLeftCell="I9" activePane="bottomRight" state="frozen"/>
      <selection pane="topRight" activeCell="I1" sqref="I1"/>
      <selection pane="bottomLeft" activeCell="A8" sqref="A8"/>
      <selection pane="bottomRight" activeCell="F35" sqref="F35"/>
    </sheetView>
  </sheetViews>
  <sheetFormatPr defaultRowHeight="16.5" x14ac:dyDescent="0.3"/>
  <cols>
    <col min="1" max="1" width="4.625" customWidth="1"/>
    <col min="2" max="2" width="16.375" customWidth="1"/>
    <col min="3" max="3" width="32.75" customWidth="1"/>
    <col min="4" max="4" width="9.75" style="3" customWidth="1"/>
    <col min="5" max="6" width="9.75" customWidth="1"/>
    <col min="7" max="7" width="9.75" style="3" customWidth="1"/>
    <col min="8" max="8" width="9.75" customWidth="1"/>
    <col min="9" max="11" width="3.625" customWidth="1"/>
    <col min="12" max="12" width="3.5" customWidth="1"/>
    <col min="13" max="241" width="3.625" customWidth="1"/>
  </cols>
  <sheetData>
    <row r="1" spans="1:242" ht="20.25" x14ac:dyDescent="0.3">
      <c r="A1" s="46" t="s">
        <v>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42" ht="22.5" customHeight="1" x14ac:dyDescent="0.3">
      <c r="A2" s="48" t="s">
        <v>5</v>
      </c>
      <c r="B2" s="48"/>
      <c r="C2" s="36" t="s">
        <v>79</v>
      </c>
      <c r="D2" s="37"/>
      <c r="E2" s="37"/>
      <c r="F2" s="37"/>
      <c r="G2" s="37"/>
      <c r="H2" s="37"/>
      <c r="I2" s="48" t="s">
        <v>9</v>
      </c>
      <c r="J2" s="48"/>
      <c r="K2" s="48"/>
      <c r="L2" s="38" t="s">
        <v>59</v>
      </c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42" ht="39.950000000000003" customHeight="1" x14ac:dyDescent="0.3">
      <c r="A3" s="48" t="s">
        <v>7</v>
      </c>
      <c r="B3" s="48"/>
      <c r="C3" s="38" t="s">
        <v>58</v>
      </c>
      <c r="D3" s="39"/>
      <c r="E3" s="39"/>
      <c r="F3" s="39"/>
      <c r="G3" s="39"/>
      <c r="H3" s="39"/>
      <c r="I3" s="48"/>
      <c r="J3" s="48"/>
      <c r="K3" s="4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</row>
    <row r="4" spans="1:242" ht="25.5" customHeight="1" x14ac:dyDescent="0.3">
      <c r="A4" s="49" t="s">
        <v>8</v>
      </c>
      <c r="B4" s="49"/>
      <c r="C4" s="40" t="s">
        <v>139</v>
      </c>
      <c r="D4" s="41"/>
      <c r="E4" s="41"/>
      <c r="F4" s="41"/>
      <c r="G4" s="41"/>
      <c r="H4" s="41"/>
      <c r="I4" s="49"/>
      <c r="J4" s="49"/>
      <c r="K4" s="49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</row>
    <row r="5" spans="1:242" s="4" customFormat="1" ht="25.5" customHeight="1" x14ac:dyDescent="0.3">
      <c r="A5" s="50" t="s">
        <v>141</v>
      </c>
      <c r="B5" s="51"/>
      <c r="C5" s="86" t="s">
        <v>142</v>
      </c>
      <c r="D5" s="52" t="s">
        <v>143</v>
      </c>
      <c r="E5" s="24" t="s">
        <v>144</v>
      </c>
      <c r="F5" s="52" t="s">
        <v>145</v>
      </c>
      <c r="G5" s="84" t="s">
        <v>146</v>
      </c>
      <c r="H5" s="85"/>
      <c r="I5" s="52"/>
      <c r="J5" s="52" t="s">
        <v>147</v>
      </c>
      <c r="K5" s="52"/>
      <c r="L5" s="29" t="s">
        <v>148</v>
      </c>
      <c r="M5" s="30"/>
      <c r="N5" s="25"/>
      <c r="O5" s="25"/>
      <c r="P5" s="25"/>
      <c r="Q5" s="25"/>
      <c r="R5" s="25"/>
      <c r="S5" s="25"/>
      <c r="T5" s="25"/>
      <c r="U5" s="25"/>
      <c r="V5" s="25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</row>
    <row r="6" spans="1:242" x14ac:dyDescent="0.3">
      <c r="A6" s="33" t="s">
        <v>10</v>
      </c>
      <c r="B6" s="34" t="s">
        <v>0</v>
      </c>
      <c r="C6" s="34" t="s">
        <v>1</v>
      </c>
      <c r="D6" s="34" t="s">
        <v>2</v>
      </c>
      <c r="E6" s="34" t="s">
        <v>3</v>
      </c>
      <c r="F6" s="34" t="s">
        <v>4</v>
      </c>
      <c r="G6" s="33" t="s">
        <v>53</v>
      </c>
      <c r="H6" s="33" t="s">
        <v>32</v>
      </c>
      <c r="I6" s="35">
        <v>45962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43">
        <v>45992</v>
      </c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5"/>
      <c r="AT6" s="43">
        <f>AU7</f>
        <v>30</v>
      </c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5"/>
      <c r="BP6" s="43">
        <f>BQ7</f>
        <v>60</v>
      </c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5"/>
      <c r="CH6" s="43">
        <f>CM7</f>
        <v>90</v>
      </c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5"/>
      <c r="DB6" s="43">
        <f>DH7</f>
        <v>121</v>
      </c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5"/>
      <c r="DY6" s="43">
        <f>EE7</f>
        <v>152</v>
      </c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5"/>
      <c r="ES6" s="43">
        <f>EZ7</f>
        <v>181</v>
      </c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5"/>
      <c r="FO6" s="43">
        <f>FV7</f>
        <v>213</v>
      </c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5"/>
      <c r="GG6" s="43">
        <f>GS7</f>
        <v>244</v>
      </c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5"/>
      <c r="HA6" s="43">
        <f>HM7</f>
        <v>272</v>
      </c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12"/>
      <c r="HX6" s="9"/>
      <c r="HY6" s="9"/>
      <c r="HZ6" s="9"/>
      <c r="IA6" s="9"/>
      <c r="IB6" s="9"/>
      <c r="IC6" s="9"/>
      <c r="ID6" s="9"/>
      <c r="IE6" s="9"/>
      <c r="IF6" s="9"/>
      <c r="IG6" s="9"/>
      <c r="IH6" s="8"/>
    </row>
    <row r="7" spans="1:242" x14ac:dyDescent="0.3">
      <c r="A7" s="33"/>
      <c r="B7" s="34"/>
      <c r="C7" s="34"/>
      <c r="D7" s="34"/>
      <c r="E7" s="34"/>
      <c r="F7" s="34"/>
      <c r="G7" s="34"/>
      <c r="H7" s="34"/>
      <c r="I7" s="1">
        <f>WORKDAY(I6,1)</f>
        <v>45964</v>
      </c>
      <c r="J7" s="1">
        <f>WORKDAY(I7,1,Sheet2!$A$3:$B$25)</f>
        <v>45965</v>
      </c>
      <c r="K7" s="1">
        <f>WORKDAY(J7,1,Sheet2!$A$3:$B$25)</f>
        <v>45966</v>
      </c>
      <c r="L7" s="1">
        <f>WORKDAY(K7,1,Sheet2!$A$3:$B$25)</f>
        <v>45967</v>
      </c>
      <c r="M7" s="1">
        <f>WORKDAY(L7,1,Sheet2!$A$3:$B$25)</f>
        <v>45968</v>
      </c>
      <c r="N7" s="1">
        <v>13</v>
      </c>
      <c r="O7" s="1">
        <v>14</v>
      </c>
      <c r="P7" s="1">
        <v>17</v>
      </c>
      <c r="Q7" s="1">
        <f>WORKDAY(P7,1,Sheet2!$A$3:$B$25)</f>
        <v>18</v>
      </c>
      <c r="R7" s="1">
        <f>WORKDAY(Q7,1,Sheet2!$A$3:$B$25)</f>
        <v>19</v>
      </c>
      <c r="S7" s="1">
        <f>WORKDAY(R7,1,Sheet2!$A$3:$B$25)</f>
        <v>20</v>
      </c>
      <c r="T7" s="1">
        <v>21</v>
      </c>
      <c r="U7" s="1">
        <v>24</v>
      </c>
      <c r="V7" s="1">
        <f>WORKDAY(U7,1,Sheet2!$A$3:$B$25)</f>
        <v>25</v>
      </c>
      <c r="W7" s="1">
        <f>WORKDAY(V7,1,Sheet2!$A$3:$B$25)</f>
        <v>26</v>
      </c>
      <c r="X7" s="1">
        <f>WORKDAY(W7,1,Sheet2!$A$3:$B$25)</f>
        <v>27</v>
      </c>
      <c r="Y7" s="1">
        <v>28</v>
      </c>
      <c r="Z7" s="1">
        <v>1</v>
      </c>
      <c r="AA7" s="1">
        <f>WORKDAY(Z7,1,Sheet2!$A$3:$B$25)</f>
        <v>2</v>
      </c>
      <c r="AB7" s="1">
        <f>WORKDAY(AA7,1,Sheet2!$A$3:$B$25)</f>
        <v>3</v>
      </c>
      <c r="AC7" s="1">
        <f>WORKDAY(AB7,1,Sheet2!$A$3:$B$25)</f>
        <v>4</v>
      </c>
      <c r="AD7" s="1">
        <f>WORKDAY(AC7,1,Sheet2!$A$3:$B$25)</f>
        <v>5</v>
      </c>
      <c r="AE7" s="1">
        <v>8</v>
      </c>
      <c r="AF7" s="1">
        <f>WORKDAY(AE7,1,Sheet2!$A$3:$B$25)</f>
        <v>9</v>
      </c>
      <c r="AG7" s="1">
        <f>WORKDAY(AF7,1,Sheet2!$A$3:$B$25)</f>
        <v>10</v>
      </c>
      <c r="AH7" s="1">
        <f>WORKDAY(AG7,1,Sheet2!$A$3:$B$25)</f>
        <v>11</v>
      </c>
      <c r="AI7" s="1">
        <v>12</v>
      </c>
      <c r="AJ7" s="1">
        <v>15</v>
      </c>
      <c r="AK7" s="1">
        <v>16</v>
      </c>
      <c r="AL7" s="1">
        <v>17</v>
      </c>
      <c r="AM7" s="1">
        <v>18</v>
      </c>
      <c r="AN7" s="1">
        <v>19</v>
      </c>
      <c r="AO7" s="1">
        <v>22</v>
      </c>
      <c r="AP7" s="1">
        <f>WORKDAY(AO7,1,Sheet2!$A$3:$B$25)</f>
        <v>23</v>
      </c>
      <c r="AQ7" s="1">
        <f>WORKDAY(AP7,1,Sheet2!$A$3:$B$25)</f>
        <v>24</v>
      </c>
      <c r="AR7" s="1">
        <f>WORKDAY(AQ7,1,Sheet2!$A$3:$B$25)</f>
        <v>25</v>
      </c>
      <c r="AS7" s="1">
        <f>WORKDAY(AR7,1,Sheet2!$A$3:$B$25)</f>
        <v>26</v>
      </c>
      <c r="AT7" s="1">
        <f>WORKDAY(AS7,1,Sheet2!$A$3:$B$25)</f>
        <v>27</v>
      </c>
      <c r="AU7" s="1">
        <f>WORKDAY(AT7,1,Sheet2!$A$3:$B$25)</f>
        <v>30</v>
      </c>
      <c r="AV7" s="1">
        <f>WORKDAY(AU7,1,Sheet2!$A$3:$B$25)</f>
        <v>31</v>
      </c>
      <c r="AW7" s="1">
        <f>WORKDAY(AV7,1,Sheet2!$A$3:$B$25)</f>
        <v>32</v>
      </c>
      <c r="AX7" s="1">
        <f>WORKDAY(AW7,1,Sheet2!$A$3:$B$25)</f>
        <v>33</v>
      </c>
      <c r="AY7" s="1">
        <f>WORKDAY(AX7,1,Sheet2!$A$3:$B$25)</f>
        <v>34</v>
      </c>
      <c r="AZ7" s="1">
        <f>WORKDAY(AY7,1,Sheet2!$A$3:$B$25)</f>
        <v>37</v>
      </c>
      <c r="BA7" s="1">
        <f>WORKDAY(AZ7,1,Sheet2!$A$3:$B$25)</f>
        <v>38</v>
      </c>
      <c r="BB7" s="1">
        <f>WORKDAY(BA7,1,Sheet2!$A$3:$B$25)</f>
        <v>39</v>
      </c>
      <c r="BC7" s="1">
        <f>WORKDAY(BB7,1,Sheet2!$A$3:$B$25)</f>
        <v>40</v>
      </c>
      <c r="BD7" s="1">
        <f>WORKDAY(BC7,1,Sheet2!$A$3:$B$25)</f>
        <v>41</v>
      </c>
      <c r="BE7" s="1">
        <f>WORKDAY(BD7,1,Sheet2!$A$3:$B$25)</f>
        <v>44</v>
      </c>
      <c r="BF7" s="1">
        <f>WORKDAY(BE7,1,Sheet2!$A$3:$B$25)</f>
        <v>45</v>
      </c>
      <c r="BG7" s="1">
        <f>WORKDAY(BF7,1,Sheet2!$A$3:$B$25)</f>
        <v>46</v>
      </c>
      <c r="BH7" s="1">
        <f>WORKDAY(BG7,1,Sheet2!$A$3:$B$25)</f>
        <v>47</v>
      </c>
      <c r="BI7" s="1">
        <f>WORKDAY(BH7,1,Sheet2!$A$3:$B$25)</f>
        <v>48</v>
      </c>
      <c r="BJ7" s="1">
        <f>WORKDAY(BI7,1,Sheet2!$A$3:$B$25)</f>
        <v>51</v>
      </c>
      <c r="BK7" s="1">
        <f>WORKDAY(BJ7,1,Sheet2!$A$3:$B$25)</f>
        <v>52</v>
      </c>
      <c r="BL7" s="1">
        <f>WORKDAY(BK7,1,Sheet2!$A$3:$B$25)</f>
        <v>53</v>
      </c>
      <c r="BM7" s="1">
        <f>WORKDAY(BL7,1,Sheet2!$A$3:$B$25)</f>
        <v>54</v>
      </c>
      <c r="BN7" s="1">
        <f>WORKDAY(BM7,1,Sheet2!$A$3:$B$25)</f>
        <v>55</v>
      </c>
      <c r="BO7" s="1">
        <f>WORKDAY(BN7,1,Sheet2!$A$3:$B$25)</f>
        <v>58</v>
      </c>
      <c r="BP7" s="1">
        <f>WORKDAY(BO7,1,Sheet2!$A$3:$B$25)</f>
        <v>59</v>
      </c>
      <c r="BQ7" s="1">
        <f>WORKDAY(BP7,1,Sheet2!$A$3:$B$25)</f>
        <v>60</v>
      </c>
      <c r="BR7" s="1">
        <f>WORKDAY(BQ7,1,Sheet2!$A$3:$B$25)</f>
        <v>61</v>
      </c>
      <c r="BS7" s="1">
        <f>WORKDAY(BR7,1,Sheet2!$A$3:$B$25)</f>
        <v>62</v>
      </c>
      <c r="BT7" s="1">
        <f>WORKDAY(BS7,1,Sheet2!$A$3:$B$25)</f>
        <v>65</v>
      </c>
      <c r="BU7" s="1">
        <f>WORKDAY(BT7,1,Sheet2!$A$3:$B$25)</f>
        <v>66</v>
      </c>
      <c r="BV7" s="1">
        <f>WORKDAY(BU7,1,Sheet2!$A$3:$B$25)</f>
        <v>67</v>
      </c>
      <c r="BW7" s="1">
        <f>WORKDAY(BV7,1,Sheet2!$A$3:$B$25)</f>
        <v>68</v>
      </c>
      <c r="BX7" s="1">
        <f>WORKDAY(BW7,1,Sheet2!$A$3:$B$25)</f>
        <v>69</v>
      </c>
      <c r="BY7" s="1">
        <f>WORKDAY(BX7,1,Sheet2!$A$3:$B$25)</f>
        <v>72</v>
      </c>
      <c r="BZ7" s="1">
        <f>WORKDAY(BY7,1,Sheet2!$A$3:$B$25)</f>
        <v>73</v>
      </c>
      <c r="CA7" s="1">
        <f>WORKDAY(BZ7,1,Sheet2!$A$3:$B$25)</f>
        <v>74</v>
      </c>
      <c r="CB7" s="1">
        <f>WORKDAY(CA7,1,Sheet2!$A$3:$B$25)</f>
        <v>75</v>
      </c>
      <c r="CC7" s="1">
        <f>WORKDAY(CB7,1,Sheet2!$A$3:$B$25)</f>
        <v>76</v>
      </c>
      <c r="CD7" s="1">
        <f>WORKDAY(CC7,1,Sheet2!$A$3:$B$25)</f>
        <v>79</v>
      </c>
      <c r="CE7" s="1">
        <f>WORKDAY(CD7,1,Sheet2!$A$3:$B$25)</f>
        <v>80</v>
      </c>
      <c r="CF7" s="1">
        <f>WORKDAY(CE7,1,Sheet2!$A$3:$B$25)</f>
        <v>81</v>
      </c>
      <c r="CG7" s="1">
        <f>WORKDAY(CF7,1,Sheet2!$A$3:$B$25)</f>
        <v>82</v>
      </c>
      <c r="CH7" s="1">
        <f>WORKDAY(CG7,1,Sheet2!$A$3:$B$25)</f>
        <v>83</v>
      </c>
      <c r="CI7" s="1">
        <f>WORKDAY(CH7,1,Sheet2!$A$3:$B$25)</f>
        <v>86</v>
      </c>
      <c r="CJ7" s="1">
        <f>WORKDAY(CI7,1,Sheet2!$A$3:$B$25)</f>
        <v>87</v>
      </c>
      <c r="CK7" s="1">
        <f>WORKDAY(CJ7,1,Sheet2!$A$3:$B$25)</f>
        <v>88</v>
      </c>
      <c r="CL7" s="1">
        <f>WORKDAY(CK7,1,Sheet2!$A$3:$B$25)</f>
        <v>89</v>
      </c>
      <c r="CM7" s="1">
        <f>WORKDAY(CL7,1,Sheet2!$A$3:$B$25)</f>
        <v>90</v>
      </c>
      <c r="CN7" s="1">
        <f>WORKDAY(CM7,1,Sheet2!$A$3:$B$25)</f>
        <v>93</v>
      </c>
      <c r="CO7" s="1">
        <f>WORKDAY(CN7,1,Sheet2!$A$3:$B$25)</f>
        <v>94</v>
      </c>
      <c r="CP7" s="1">
        <f>WORKDAY(CO7,1,Sheet2!$A$3:$B$25)</f>
        <v>95</v>
      </c>
      <c r="CQ7" s="1">
        <f>WORKDAY(CP7,1,Sheet2!$A$3:$B$25)</f>
        <v>96</v>
      </c>
      <c r="CR7" s="1">
        <f>WORKDAY(CQ7,1,Sheet2!$A$3:$B$25)</f>
        <v>97</v>
      </c>
      <c r="CS7" s="1">
        <f>WORKDAY(CR7,1,Sheet2!$A$3:$B$25)</f>
        <v>100</v>
      </c>
      <c r="CT7" s="1">
        <f>WORKDAY(CS7,1,Sheet2!$A$3:$B$25)</f>
        <v>101</v>
      </c>
      <c r="CU7" s="1">
        <f>WORKDAY(CT7,1,Sheet2!$A$3:$B$25)</f>
        <v>102</v>
      </c>
      <c r="CV7" s="1">
        <f>WORKDAY(CU7,1,Sheet2!$A$3:$B$25)</f>
        <v>103</v>
      </c>
      <c r="CW7" s="1">
        <f>WORKDAY(CV7,1,Sheet2!$A$3:$B$25)</f>
        <v>104</v>
      </c>
      <c r="CX7" s="1">
        <f>WORKDAY(CW7,1,Sheet2!$A$3:$B$25)</f>
        <v>107</v>
      </c>
      <c r="CY7" s="1">
        <f>WORKDAY(CX7,1,Sheet2!$A$3:$B$25)</f>
        <v>108</v>
      </c>
      <c r="CZ7" s="1">
        <f>WORKDAY(CY7,1,Sheet2!$A$3:$B$25)</f>
        <v>109</v>
      </c>
      <c r="DA7" s="1">
        <f>WORKDAY(CZ7,1,Sheet2!$A$3:$B$25)</f>
        <v>110</v>
      </c>
      <c r="DB7" s="1">
        <f>WORKDAY(DA7,1,Sheet2!$A$3:$B$25)</f>
        <v>111</v>
      </c>
      <c r="DC7" s="1">
        <f>WORKDAY(DB7,1,Sheet2!$A$3:$B$25)</f>
        <v>114</v>
      </c>
      <c r="DD7" s="1">
        <f>WORKDAY(DC7,1,Sheet2!$A$3:$B$25)</f>
        <v>115</v>
      </c>
      <c r="DE7" s="1">
        <f>WORKDAY(DD7,1,Sheet2!$A$3:$B$25)</f>
        <v>116</v>
      </c>
      <c r="DF7" s="1">
        <f>WORKDAY(DE7,1,Sheet2!$A$3:$B$25)</f>
        <v>117</v>
      </c>
      <c r="DG7" s="1">
        <f>WORKDAY(DF7,1,Sheet2!$A$3:$B$25)</f>
        <v>118</v>
      </c>
      <c r="DH7" s="1">
        <f>WORKDAY(DG7,1,Sheet2!$A$3:$B$25)</f>
        <v>121</v>
      </c>
      <c r="DI7" s="1">
        <f>WORKDAY(DH7,1,Sheet2!$A$3:$B$25)</f>
        <v>122</v>
      </c>
      <c r="DJ7" s="1">
        <f>WORKDAY(DI7,1,Sheet2!$A$3:$B$25)</f>
        <v>123</v>
      </c>
      <c r="DK7" s="1">
        <f>WORKDAY(DJ7,1,Sheet2!$A$3:$B$25)</f>
        <v>124</v>
      </c>
      <c r="DL7" s="1">
        <f>WORKDAY(DK7,1,Sheet2!$A$3:$B$25)</f>
        <v>125</v>
      </c>
      <c r="DM7" s="1">
        <f>WORKDAY(DL7,1,Sheet2!$A$3:$B$25)</f>
        <v>128</v>
      </c>
      <c r="DN7" s="1">
        <f>WORKDAY(DM7,1,Sheet2!$A$3:$B$25)</f>
        <v>129</v>
      </c>
      <c r="DO7" s="1">
        <f>WORKDAY(DN7,1,Sheet2!$A$3:$B$25)</f>
        <v>130</v>
      </c>
      <c r="DP7" s="1">
        <f>WORKDAY(DO7,1,Sheet2!$A$3:$B$25)</f>
        <v>131</v>
      </c>
      <c r="DQ7" s="1">
        <f>WORKDAY(DP7,1,Sheet2!$A$3:$B$25)</f>
        <v>132</v>
      </c>
      <c r="DR7" s="1">
        <f>WORKDAY(DQ7,1,Sheet2!$A$3:$B$25)</f>
        <v>135</v>
      </c>
      <c r="DS7" s="1">
        <f>WORKDAY(DR7,1,Sheet2!$A$3:$B$25)</f>
        <v>136</v>
      </c>
      <c r="DT7" s="1">
        <f>WORKDAY(DS7,1,Sheet2!$A$3:$B$25)</f>
        <v>137</v>
      </c>
      <c r="DU7" s="1">
        <f>WORKDAY(DT7,1,Sheet2!$A$3:$B$25)</f>
        <v>138</v>
      </c>
      <c r="DV7" s="1">
        <f>WORKDAY(DU7,1,Sheet2!$A$3:$B$25)</f>
        <v>139</v>
      </c>
      <c r="DW7" s="1">
        <f>WORKDAY(DV7,1,Sheet2!$A$3:$B$25)</f>
        <v>142</v>
      </c>
      <c r="DX7" s="1">
        <f>WORKDAY(DW7,1,Sheet2!$A$3:$B$25)</f>
        <v>143</v>
      </c>
      <c r="DY7" s="1">
        <f>WORKDAY(DX7,1,Sheet2!$A$3:$B$25)</f>
        <v>144</v>
      </c>
      <c r="DZ7" s="1">
        <f>WORKDAY(DY7,1,Sheet2!$A$3:$B$25)</f>
        <v>145</v>
      </c>
      <c r="EA7" s="1">
        <f>WORKDAY(DZ7,1,Sheet2!$A$3:$B$25)</f>
        <v>146</v>
      </c>
      <c r="EB7" s="1">
        <f>WORKDAY(EA7,1,Sheet2!$A$3:$B$25)</f>
        <v>149</v>
      </c>
      <c r="EC7" s="1">
        <f>WORKDAY(EB7,1,Sheet2!$A$3:$B$25)</f>
        <v>150</v>
      </c>
      <c r="ED7" s="1">
        <f>WORKDAY(EC7,1,Sheet2!$A$3:$B$25)</f>
        <v>151</v>
      </c>
      <c r="EE7" s="1">
        <f>WORKDAY(ED7,1,Sheet2!$A$3:$B$25)</f>
        <v>152</v>
      </c>
      <c r="EF7" s="1">
        <f>WORKDAY(EE7,1,Sheet2!$A$3:$B$25)</f>
        <v>153</v>
      </c>
      <c r="EG7" s="1">
        <f>WORKDAY(EF7,1,Sheet2!$A$3:$B$25)</f>
        <v>156</v>
      </c>
      <c r="EH7" s="1">
        <f>WORKDAY(EG7,1,Sheet2!$A$3:$B$25)</f>
        <v>157</v>
      </c>
      <c r="EI7" s="1">
        <f>WORKDAY(EH7,1,Sheet2!$A$3:$B$25)</f>
        <v>158</v>
      </c>
      <c r="EJ7" s="1">
        <f>WORKDAY(EI7,1,Sheet2!$A$3:$B$25)</f>
        <v>159</v>
      </c>
      <c r="EK7" s="1">
        <f>WORKDAY(EJ7,1,Sheet2!$A$3:$B$25)</f>
        <v>160</v>
      </c>
      <c r="EL7" s="1">
        <f>WORKDAY(EK7,1,Sheet2!$A$3:$B$25)</f>
        <v>163</v>
      </c>
      <c r="EM7" s="1">
        <f>WORKDAY(EL7,1,Sheet2!$A$3:$B$25)</f>
        <v>164</v>
      </c>
      <c r="EN7" s="1">
        <f>WORKDAY(EM7,1,Sheet2!$A$3:$B$25)</f>
        <v>165</v>
      </c>
      <c r="EO7" s="1">
        <f>WORKDAY(EN7,1,Sheet2!$A$3:$B$25)</f>
        <v>166</v>
      </c>
      <c r="EP7" s="1">
        <f>WORKDAY(EO7,1,Sheet2!$A$3:$B$25)</f>
        <v>167</v>
      </c>
      <c r="EQ7" s="1">
        <f>WORKDAY(EP7,1,Sheet2!$A$3:$B$25)</f>
        <v>170</v>
      </c>
      <c r="ER7" s="1">
        <f>WORKDAY(EQ7,1,Sheet2!$A$3:$B$25)</f>
        <v>171</v>
      </c>
      <c r="ES7" s="1">
        <f>WORKDAY(ER7,1,Sheet2!$A$3:$B$25)</f>
        <v>172</v>
      </c>
      <c r="ET7" s="1">
        <f>WORKDAY(ES7,1,Sheet2!$A$3:$B$25)</f>
        <v>173</v>
      </c>
      <c r="EU7" s="1">
        <f>WORKDAY(ET7,1,Sheet2!$A$3:$B$25)</f>
        <v>174</v>
      </c>
      <c r="EV7" s="1">
        <f>WORKDAY(EU7,1,Sheet2!$A$3:$B$25)</f>
        <v>177</v>
      </c>
      <c r="EW7" s="1">
        <f>WORKDAY(EV7,1,Sheet2!$A$3:$B$25)</f>
        <v>178</v>
      </c>
      <c r="EX7" s="1">
        <f>WORKDAY(EW7,1,Sheet2!$A$3:$B$25)</f>
        <v>179</v>
      </c>
      <c r="EY7" s="1">
        <f>WORKDAY(EX7,1,Sheet2!$A$3:$B$25)</f>
        <v>180</v>
      </c>
      <c r="EZ7" s="1">
        <f>WORKDAY(EY7,1,Sheet2!$A$3:$B$25)</f>
        <v>181</v>
      </c>
      <c r="FA7" s="1">
        <f>WORKDAY(EZ7,1,Sheet2!$A$3:$B$25)</f>
        <v>184</v>
      </c>
      <c r="FB7" s="1">
        <f>WORKDAY(FA7,1,Sheet2!$A$3:$B$25)</f>
        <v>185</v>
      </c>
      <c r="FC7" s="1">
        <f>WORKDAY(FB7,1,Sheet2!$A$3:$B$25)</f>
        <v>186</v>
      </c>
      <c r="FD7" s="1">
        <f>WORKDAY(FC7,1,Sheet2!$A$3:$B$25)</f>
        <v>187</v>
      </c>
      <c r="FE7" s="1">
        <f>WORKDAY(FD7,1,Sheet2!$A$3:$B$25)</f>
        <v>188</v>
      </c>
      <c r="FF7" s="1">
        <f>WORKDAY(FE7,1,Sheet2!$A$3:$B$25)</f>
        <v>191</v>
      </c>
      <c r="FG7" s="1">
        <f>WORKDAY(FF7,1,Sheet2!$A$3:$B$25)</f>
        <v>192</v>
      </c>
      <c r="FH7" s="1">
        <f>WORKDAY(FG7,1,Sheet2!$A$3:$B$25)</f>
        <v>193</v>
      </c>
      <c r="FI7" s="1">
        <f>WORKDAY(FH7,1,Sheet2!$A$3:$B$25)</f>
        <v>194</v>
      </c>
      <c r="FJ7" s="1">
        <f>WORKDAY(FI7,1,Sheet2!$A$3:$B$25)</f>
        <v>195</v>
      </c>
      <c r="FK7" s="1">
        <f>WORKDAY(FJ7,1,Sheet2!$A$3:$B$25)</f>
        <v>198</v>
      </c>
      <c r="FL7" s="1">
        <f>WORKDAY(FK7,1,Sheet2!$A$3:$B$25)</f>
        <v>199</v>
      </c>
      <c r="FM7" s="1">
        <f>WORKDAY(FL7,1,Sheet2!$A$3:$B$25)</f>
        <v>200</v>
      </c>
      <c r="FN7" s="1">
        <f>WORKDAY(FM7,1,Sheet2!$A$3:$B$25)</f>
        <v>201</v>
      </c>
      <c r="FO7" s="1">
        <f>WORKDAY(FN7,1,Sheet2!$A$3:$B$25)</f>
        <v>202</v>
      </c>
      <c r="FP7" s="1">
        <f>WORKDAY(FO7,1,Sheet2!$A$3:$B$25)</f>
        <v>205</v>
      </c>
      <c r="FQ7" s="1">
        <f>WORKDAY(FP7,1,Sheet2!$A$3:$B$25)</f>
        <v>206</v>
      </c>
      <c r="FR7" s="1">
        <f>WORKDAY(FQ7,1,Sheet2!$A$3:$B$25)</f>
        <v>207</v>
      </c>
      <c r="FS7" s="1">
        <f>WORKDAY(FR7,1,Sheet2!$A$3:$B$25)</f>
        <v>208</v>
      </c>
      <c r="FT7" s="1">
        <f>WORKDAY(FS7,1,Sheet2!$A$3:$B$25)</f>
        <v>209</v>
      </c>
      <c r="FU7" s="1">
        <f>WORKDAY(FT7,1,Sheet2!$A$3:$B$25)</f>
        <v>212</v>
      </c>
      <c r="FV7" s="1">
        <f>WORKDAY(FU7,1,Sheet2!$A$3:$B$25)</f>
        <v>213</v>
      </c>
      <c r="FW7" s="1">
        <f>WORKDAY(FV7,1,Sheet2!$A$3:$B$25)</f>
        <v>214</v>
      </c>
      <c r="FX7" s="1">
        <f>WORKDAY(FW7,1,Sheet2!$A$3:$B$25)</f>
        <v>215</v>
      </c>
      <c r="FY7" s="1">
        <f>WORKDAY(FX7,1,Sheet2!$A$3:$B$25)</f>
        <v>216</v>
      </c>
      <c r="FZ7" s="1">
        <f>WORKDAY(FY7,1,Sheet2!$A$3:$B$25)</f>
        <v>219</v>
      </c>
      <c r="GA7" s="1">
        <f>WORKDAY(FZ7,1,Sheet2!$A$3:$B$25)</f>
        <v>220</v>
      </c>
      <c r="GB7" s="1">
        <f>WORKDAY(GA7,1,Sheet2!$A$3:$B$25)</f>
        <v>221</v>
      </c>
      <c r="GC7" s="1">
        <f>WORKDAY(GB7,1,Sheet2!$A$3:$B$25)</f>
        <v>222</v>
      </c>
      <c r="GD7" s="1">
        <f>WORKDAY(GC7,1,Sheet2!$A$3:$B$25)</f>
        <v>223</v>
      </c>
      <c r="GE7" s="1">
        <f>WORKDAY(GD7,1,Sheet2!$A$3:$B$25)</f>
        <v>226</v>
      </c>
      <c r="GF7" s="1">
        <f>WORKDAY(GE7,1,Sheet2!$A$3:$B$25)</f>
        <v>227</v>
      </c>
      <c r="GG7" s="1">
        <f>WORKDAY(GF7,1,Sheet2!$A$3:$B$25)</f>
        <v>228</v>
      </c>
      <c r="GH7" s="1">
        <f>WORKDAY(GG7,1,Sheet2!$A$3:$B$25)</f>
        <v>229</v>
      </c>
      <c r="GI7" s="1">
        <f>WORKDAY(GH7,1,Sheet2!$A$3:$B$25)</f>
        <v>230</v>
      </c>
      <c r="GJ7" s="1">
        <f>WORKDAY(GI7,1,Sheet2!$A$3:$B$25)</f>
        <v>233</v>
      </c>
      <c r="GK7" s="1">
        <f>WORKDAY(GJ7,1,Sheet2!$A$3:$B$25)</f>
        <v>234</v>
      </c>
      <c r="GL7" s="1">
        <f>WORKDAY(GK7,1,Sheet2!$A$3:$B$25)</f>
        <v>235</v>
      </c>
      <c r="GM7" s="1">
        <f>WORKDAY(GL7,1,Sheet2!$A$3:$B$25)</f>
        <v>236</v>
      </c>
      <c r="GN7" s="1">
        <f>WORKDAY(GM7,1,Sheet2!$A$3:$B$25)</f>
        <v>237</v>
      </c>
      <c r="GO7" s="1">
        <f>WORKDAY(GN7,1,Sheet2!$A$3:$B$25)</f>
        <v>240</v>
      </c>
      <c r="GP7" s="1">
        <f>WORKDAY(GO7,1,Sheet2!$A$3:$B$25)</f>
        <v>241</v>
      </c>
      <c r="GQ7" s="1">
        <f>WORKDAY(GP7,1,Sheet2!$A$3:$B$25)</f>
        <v>242</v>
      </c>
      <c r="GR7" s="1">
        <f>WORKDAY(GQ7,1,Sheet2!$A$3:$B$25)</f>
        <v>243</v>
      </c>
      <c r="GS7" s="1">
        <f>WORKDAY(GR7,1,Sheet2!$A$3:$B$25)</f>
        <v>244</v>
      </c>
      <c r="GT7" s="1">
        <f>WORKDAY(GS7,1,Sheet2!$A$3:$B$25)</f>
        <v>247</v>
      </c>
      <c r="GU7" s="1">
        <f>WORKDAY(GT7,1,Sheet2!$A$3:$B$25)</f>
        <v>248</v>
      </c>
      <c r="GV7" s="1">
        <f>WORKDAY(GU7,1,Sheet2!$A$3:$B$25)</f>
        <v>249</v>
      </c>
      <c r="GW7" s="1">
        <f>WORKDAY(GV7,1,Sheet2!$A$3:$B$25)</f>
        <v>250</v>
      </c>
      <c r="GX7" s="1">
        <f>WORKDAY(GW7,1,Sheet2!$A$3:$B$25)</f>
        <v>251</v>
      </c>
      <c r="GY7" s="1">
        <f>WORKDAY(GX7,1,Sheet2!$A$3:$B$25)</f>
        <v>254</v>
      </c>
      <c r="GZ7" s="1">
        <f>WORKDAY(GY7,1,Sheet2!$A$3:$B$25)</f>
        <v>255</v>
      </c>
      <c r="HA7" s="1">
        <f>WORKDAY(GZ7,1,Sheet2!$A$3:$B$25)</f>
        <v>256</v>
      </c>
      <c r="HB7" s="1">
        <f>WORKDAY(HA7,1,Sheet2!$A$3:$B$25)</f>
        <v>257</v>
      </c>
      <c r="HC7" s="1">
        <f>WORKDAY(HB7,1,Sheet2!$A$3:$B$25)</f>
        <v>258</v>
      </c>
      <c r="HD7" s="1">
        <f>WORKDAY(HC7,1,Sheet2!$A$3:$B$25)</f>
        <v>261</v>
      </c>
      <c r="HE7" s="1">
        <f>WORKDAY(HD7,1,Sheet2!$A$3:$B$25)</f>
        <v>262</v>
      </c>
      <c r="HF7" s="1">
        <f>WORKDAY(HE7,1,Sheet2!$A$3:$B$25)</f>
        <v>263</v>
      </c>
      <c r="HG7" s="1">
        <f>WORKDAY(HF7,1,Sheet2!$A$3:$B$25)</f>
        <v>264</v>
      </c>
      <c r="HH7" s="1">
        <f>WORKDAY(HG7,1,Sheet2!$A$3:$B$25)</f>
        <v>265</v>
      </c>
      <c r="HI7" s="1">
        <f>WORKDAY(HH7,1,Sheet2!$A$3:$B$25)</f>
        <v>268</v>
      </c>
      <c r="HJ7" s="1">
        <f>WORKDAY(HI7,1,Sheet2!$A$3:$B$25)</f>
        <v>269</v>
      </c>
      <c r="HK7" s="1">
        <f>WORKDAY(HJ7,1,Sheet2!$A$3:$B$25)</f>
        <v>270</v>
      </c>
      <c r="HL7" s="1">
        <f>WORKDAY(HK7,1,Sheet2!$A$3:$B$25)</f>
        <v>271</v>
      </c>
      <c r="HM7" s="1">
        <f>WORKDAY(HL7,1,Sheet2!$A$3:$B$25)</f>
        <v>272</v>
      </c>
      <c r="HN7" s="1">
        <f>WORKDAY(HM7,1,Sheet2!$A$3:$B$25)</f>
        <v>275</v>
      </c>
      <c r="HO7" s="1">
        <f>WORKDAY(HN7,1,Sheet2!$A$3:$B$25)</f>
        <v>276</v>
      </c>
      <c r="HP7" s="1">
        <f>WORKDAY(HO7,1,Sheet2!$A$3:$B$25)</f>
        <v>277</v>
      </c>
      <c r="HQ7" s="1">
        <f>WORKDAY(HP7,1,Sheet2!$A$3:$B$25)</f>
        <v>278</v>
      </c>
      <c r="HR7" s="1">
        <f>WORKDAY(HQ7,1,Sheet2!$A$3:$B$25)</f>
        <v>279</v>
      </c>
      <c r="HS7" s="1">
        <f>WORKDAY(HR7,1,Sheet2!$A$3:$B$25)</f>
        <v>282</v>
      </c>
      <c r="HT7" s="1">
        <f>WORKDAY(HS7,1,Sheet2!$A$3:$B$25)</f>
        <v>283</v>
      </c>
      <c r="HU7" s="1">
        <f>WORKDAY(HT7,1,Sheet2!$A$3:$B$25)</f>
        <v>284</v>
      </c>
      <c r="HV7" s="6">
        <f>WORKDAY(HU7,1,Sheet2!$A$3:$B$25)</f>
        <v>285</v>
      </c>
      <c r="HW7" s="13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8"/>
    </row>
    <row r="8" spans="1:242" x14ac:dyDescent="0.3">
      <c r="A8" s="33"/>
      <c r="B8" s="34"/>
      <c r="C8" s="34"/>
      <c r="D8" s="34"/>
      <c r="E8" s="34"/>
      <c r="F8" s="34"/>
      <c r="G8" s="34"/>
      <c r="H8" s="34"/>
      <c r="I8" s="2">
        <f>I7</f>
        <v>45964</v>
      </c>
      <c r="J8" s="2">
        <f t="shared" ref="J8:M8" si="0">J7</f>
        <v>45965</v>
      </c>
      <c r="K8" s="2">
        <f t="shared" si="0"/>
        <v>45966</v>
      </c>
      <c r="L8" s="2">
        <f t="shared" si="0"/>
        <v>45967</v>
      </c>
      <c r="M8" s="2">
        <f t="shared" si="0"/>
        <v>45968</v>
      </c>
      <c r="N8" s="2" t="s">
        <v>100</v>
      </c>
      <c r="O8" s="2" t="s">
        <v>99</v>
      </c>
      <c r="P8" s="2" t="s">
        <v>60</v>
      </c>
      <c r="Q8" s="2" t="s">
        <v>54</v>
      </c>
      <c r="R8" s="2" t="s">
        <v>55</v>
      </c>
      <c r="S8" s="2" t="s">
        <v>56</v>
      </c>
      <c r="T8" s="2" t="s">
        <v>61</v>
      </c>
      <c r="U8" s="2" t="s">
        <v>60</v>
      </c>
      <c r="V8" s="2" t="s">
        <v>54</v>
      </c>
      <c r="W8" s="2" t="s">
        <v>55</v>
      </c>
      <c r="X8" s="2" t="s">
        <v>56</v>
      </c>
      <c r="Y8" s="2" t="s">
        <v>57</v>
      </c>
      <c r="Z8" s="2" t="s">
        <v>62</v>
      </c>
      <c r="AA8" s="2" t="s">
        <v>54</v>
      </c>
      <c r="AB8" s="2" t="s">
        <v>55</v>
      </c>
      <c r="AC8" s="2" t="s">
        <v>56</v>
      </c>
      <c r="AD8" s="2" t="s">
        <v>57</v>
      </c>
      <c r="AE8" s="2" t="s">
        <v>62</v>
      </c>
      <c r="AF8" s="2" t="s">
        <v>54</v>
      </c>
      <c r="AG8" s="2" t="s">
        <v>55</v>
      </c>
      <c r="AH8" s="2" t="s">
        <v>56</v>
      </c>
      <c r="AI8" s="2" t="s">
        <v>63</v>
      </c>
      <c r="AJ8" s="2" t="s">
        <v>62</v>
      </c>
      <c r="AK8" s="2" t="s">
        <v>54</v>
      </c>
      <c r="AL8" s="2" t="s">
        <v>55</v>
      </c>
      <c r="AM8" s="2" t="s">
        <v>56</v>
      </c>
      <c r="AN8" s="2" t="s">
        <v>63</v>
      </c>
      <c r="AO8" s="2" t="s">
        <v>62</v>
      </c>
      <c r="AP8" s="2" t="s">
        <v>54</v>
      </c>
      <c r="AQ8" s="2" t="s">
        <v>55</v>
      </c>
      <c r="AR8" s="2" t="s">
        <v>56</v>
      </c>
      <c r="AS8" s="2" t="s">
        <v>63</v>
      </c>
      <c r="AT8" s="2" t="s">
        <v>62</v>
      </c>
      <c r="AU8" s="2" t="s">
        <v>54</v>
      </c>
      <c r="AV8" s="2" t="s">
        <v>55</v>
      </c>
      <c r="AW8" s="2" t="s">
        <v>56</v>
      </c>
      <c r="AX8" s="2" t="s">
        <v>63</v>
      </c>
      <c r="AY8" s="2">
        <f t="shared" ref="AY8" si="1">AY7</f>
        <v>34</v>
      </c>
      <c r="AZ8" s="2">
        <f t="shared" ref="AZ8" si="2">AZ7</f>
        <v>37</v>
      </c>
      <c r="BA8" s="2">
        <f t="shared" ref="BA8" si="3">BA7</f>
        <v>38</v>
      </c>
      <c r="BB8" s="2">
        <f t="shared" ref="BB8" si="4">BB7</f>
        <v>39</v>
      </c>
      <c r="BC8" s="2">
        <f t="shared" ref="BC8" si="5">BC7</f>
        <v>40</v>
      </c>
      <c r="BD8" s="2">
        <f t="shared" ref="BD8" si="6">BD7</f>
        <v>41</v>
      </c>
      <c r="BE8" s="2">
        <f t="shared" ref="BE8" si="7">BE7</f>
        <v>44</v>
      </c>
      <c r="BF8" s="2">
        <f t="shared" ref="BF8" si="8">BF7</f>
        <v>45</v>
      </c>
      <c r="BG8" s="2">
        <f t="shared" ref="BG8" si="9">BG7</f>
        <v>46</v>
      </c>
      <c r="BH8" s="2">
        <f t="shared" ref="BH8" si="10">BH7</f>
        <v>47</v>
      </c>
      <c r="BI8" s="2">
        <f t="shared" ref="BI8" si="11">BI7</f>
        <v>48</v>
      </c>
      <c r="BJ8" s="2">
        <f t="shared" ref="BJ8" si="12">BJ7</f>
        <v>51</v>
      </c>
      <c r="BK8" s="2">
        <f t="shared" ref="BK8" si="13">BK7</f>
        <v>52</v>
      </c>
      <c r="BL8" s="2">
        <f t="shared" ref="BL8" si="14">BL7</f>
        <v>53</v>
      </c>
      <c r="BM8" s="2">
        <f t="shared" ref="BM8" si="15">BM7</f>
        <v>54</v>
      </c>
      <c r="BN8" s="2">
        <f t="shared" ref="BN8" si="16">BN7</f>
        <v>55</v>
      </c>
      <c r="BO8" s="2">
        <f t="shared" ref="BO8" si="17">BO7</f>
        <v>58</v>
      </c>
      <c r="BP8" s="2">
        <f t="shared" ref="BP8" si="18">BP7</f>
        <v>59</v>
      </c>
      <c r="BQ8" s="2">
        <f t="shared" ref="BQ8" si="19">BQ7</f>
        <v>60</v>
      </c>
      <c r="BR8" s="2">
        <f t="shared" ref="BR8" si="20">BR7</f>
        <v>61</v>
      </c>
      <c r="BS8" s="2">
        <f t="shared" ref="BS8" si="21">BS7</f>
        <v>62</v>
      </c>
      <c r="BT8" s="2">
        <f t="shared" ref="BT8" si="22">BT7</f>
        <v>65</v>
      </c>
      <c r="BU8" s="2">
        <f t="shared" ref="BU8" si="23">BU7</f>
        <v>66</v>
      </c>
      <c r="BV8" s="2">
        <f t="shared" ref="BV8" si="24">BV7</f>
        <v>67</v>
      </c>
      <c r="BW8" s="2">
        <f t="shared" ref="BW8" si="25">BW7</f>
        <v>68</v>
      </c>
      <c r="BX8" s="2">
        <f t="shared" ref="BX8" si="26">BX7</f>
        <v>69</v>
      </c>
      <c r="BY8" s="2">
        <f t="shared" ref="BY8" si="27">BY7</f>
        <v>72</v>
      </c>
      <c r="BZ8" s="2">
        <f t="shared" ref="BZ8" si="28">BZ7</f>
        <v>73</v>
      </c>
      <c r="CA8" s="2">
        <f t="shared" ref="CA8" si="29">CA7</f>
        <v>74</v>
      </c>
      <c r="CB8" s="2">
        <f t="shared" ref="CB8" si="30">CB7</f>
        <v>75</v>
      </c>
      <c r="CC8" s="2">
        <f t="shared" ref="CC8" si="31">CC7</f>
        <v>76</v>
      </c>
      <c r="CD8" s="2">
        <f t="shared" ref="CD8" si="32">CD7</f>
        <v>79</v>
      </c>
      <c r="CE8" s="2">
        <f t="shared" ref="CE8" si="33">CE7</f>
        <v>80</v>
      </c>
      <c r="CF8" s="2">
        <f t="shared" ref="CF8" si="34">CF7</f>
        <v>81</v>
      </c>
      <c r="CG8" s="2">
        <f t="shared" ref="CG8" si="35">CG7</f>
        <v>82</v>
      </c>
      <c r="CH8" s="2">
        <f t="shared" ref="CH8" si="36">CH7</f>
        <v>83</v>
      </c>
      <c r="CI8" s="2">
        <f t="shared" ref="CI8" si="37">CI7</f>
        <v>86</v>
      </c>
      <c r="CJ8" s="2">
        <f t="shared" ref="CJ8" si="38">CJ7</f>
        <v>87</v>
      </c>
      <c r="CK8" s="2">
        <f t="shared" ref="CK8" si="39">CK7</f>
        <v>88</v>
      </c>
      <c r="CL8" s="2">
        <f t="shared" ref="CL8" si="40">CL7</f>
        <v>89</v>
      </c>
      <c r="CM8" s="2">
        <f t="shared" ref="CM8" si="41">CM7</f>
        <v>90</v>
      </c>
      <c r="CN8" s="2">
        <f t="shared" ref="CN8" si="42">CN7</f>
        <v>93</v>
      </c>
      <c r="CO8" s="2">
        <f t="shared" ref="CO8" si="43">CO7</f>
        <v>94</v>
      </c>
      <c r="CP8" s="2">
        <f t="shared" ref="CP8" si="44">CP7</f>
        <v>95</v>
      </c>
      <c r="CQ8" s="2">
        <f t="shared" ref="CQ8" si="45">CQ7</f>
        <v>96</v>
      </c>
      <c r="CR8" s="2">
        <f t="shared" ref="CR8" si="46">CR7</f>
        <v>97</v>
      </c>
      <c r="CS8" s="2">
        <f t="shared" ref="CS8" si="47">CS7</f>
        <v>100</v>
      </c>
      <c r="CT8" s="2">
        <f t="shared" ref="CT8" si="48">CT7</f>
        <v>101</v>
      </c>
      <c r="CU8" s="2">
        <f t="shared" ref="CU8" si="49">CU7</f>
        <v>102</v>
      </c>
      <c r="CV8" s="2">
        <f t="shared" ref="CV8" si="50">CV7</f>
        <v>103</v>
      </c>
      <c r="CW8" s="2">
        <f t="shared" ref="CW8" si="51">CW7</f>
        <v>104</v>
      </c>
      <c r="CX8" s="2">
        <f t="shared" ref="CX8" si="52">CX7</f>
        <v>107</v>
      </c>
      <c r="CY8" s="2">
        <f t="shared" ref="CY8" si="53">CY7</f>
        <v>108</v>
      </c>
      <c r="CZ8" s="2">
        <f t="shared" ref="CZ8" si="54">CZ7</f>
        <v>109</v>
      </c>
      <c r="DA8" s="2">
        <f t="shared" ref="DA8" si="55">DA7</f>
        <v>110</v>
      </c>
      <c r="DB8" s="2">
        <f t="shared" ref="DB8" si="56">DB7</f>
        <v>111</v>
      </c>
      <c r="DC8" s="2">
        <f t="shared" ref="DC8" si="57">DC7</f>
        <v>114</v>
      </c>
      <c r="DD8" s="2">
        <f t="shared" ref="DD8" si="58">DD7</f>
        <v>115</v>
      </c>
      <c r="DE8" s="2">
        <f t="shared" ref="DE8" si="59">DE7</f>
        <v>116</v>
      </c>
      <c r="DF8" s="2">
        <f t="shared" ref="DF8" si="60">DF7</f>
        <v>117</v>
      </c>
      <c r="DG8" s="2">
        <f t="shared" ref="DG8" si="61">DG7</f>
        <v>118</v>
      </c>
      <c r="DH8" s="2">
        <f t="shared" ref="DH8" si="62">DH7</f>
        <v>121</v>
      </c>
      <c r="DI8" s="2">
        <f t="shared" ref="DI8" si="63">DI7</f>
        <v>122</v>
      </c>
      <c r="DJ8" s="2">
        <f t="shared" ref="DJ8" si="64">DJ7</f>
        <v>123</v>
      </c>
      <c r="DK8" s="2">
        <f t="shared" ref="DK8" si="65">DK7</f>
        <v>124</v>
      </c>
      <c r="DL8" s="2">
        <f t="shared" ref="DL8" si="66">DL7</f>
        <v>125</v>
      </c>
      <c r="DM8" s="2">
        <f t="shared" ref="DM8" si="67">DM7</f>
        <v>128</v>
      </c>
      <c r="DN8" s="2">
        <f t="shared" ref="DN8" si="68">DN7</f>
        <v>129</v>
      </c>
      <c r="DO8" s="2">
        <f t="shared" ref="DO8" si="69">DO7</f>
        <v>130</v>
      </c>
      <c r="DP8" s="2">
        <f t="shared" ref="DP8" si="70">DP7</f>
        <v>131</v>
      </c>
      <c r="DQ8" s="2">
        <f t="shared" ref="DQ8" si="71">DQ7</f>
        <v>132</v>
      </c>
      <c r="DR8" s="2">
        <f t="shared" ref="DR8" si="72">DR7</f>
        <v>135</v>
      </c>
      <c r="DS8" s="2">
        <f t="shared" ref="DS8" si="73">DS7</f>
        <v>136</v>
      </c>
      <c r="DT8" s="2">
        <f t="shared" ref="DT8" si="74">DT7</f>
        <v>137</v>
      </c>
      <c r="DU8" s="2">
        <f t="shared" ref="DU8" si="75">DU7</f>
        <v>138</v>
      </c>
      <c r="DV8" s="2">
        <f t="shared" ref="DV8" si="76">DV7</f>
        <v>139</v>
      </c>
      <c r="DW8" s="2">
        <f t="shared" ref="DW8" si="77">DW7</f>
        <v>142</v>
      </c>
      <c r="DX8" s="2">
        <f t="shared" ref="DX8" si="78">DX7</f>
        <v>143</v>
      </c>
      <c r="DY8" s="2">
        <f t="shared" ref="DY8" si="79">DY7</f>
        <v>144</v>
      </c>
      <c r="DZ8" s="2">
        <f t="shared" ref="DZ8" si="80">DZ7</f>
        <v>145</v>
      </c>
      <c r="EA8" s="2">
        <f t="shared" ref="EA8" si="81">EA7</f>
        <v>146</v>
      </c>
      <c r="EB8" s="2">
        <f t="shared" ref="EB8" si="82">EB7</f>
        <v>149</v>
      </c>
      <c r="EC8" s="2">
        <f t="shared" ref="EC8" si="83">EC7</f>
        <v>150</v>
      </c>
      <c r="ED8" s="2">
        <f t="shared" ref="ED8" si="84">ED7</f>
        <v>151</v>
      </c>
      <c r="EE8" s="2">
        <f t="shared" ref="EE8" si="85">EE7</f>
        <v>152</v>
      </c>
      <c r="EF8" s="2">
        <f t="shared" ref="EF8" si="86">EF7</f>
        <v>153</v>
      </c>
      <c r="EG8" s="2">
        <f t="shared" ref="EG8" si="87">EG7</f>
        <v>156</v>
      </c>
      <c r="EH8" s="2">
        <f t="shared" ref="EH8" si="88">EH7</f>
        <v>157</v>
      </c>
      <c r="EI8" s="2">
        <f t="shared" ref="EI8" si="89">EI7</f>
        <v>158</v>
      </c>
      <c r="EJ8" s="2">
        <f t="shared" ref="EJ8" si="90">EJ7</f>
        <v>159</v>
      </c>
      <c r="EK8" s="2">
        <f t="shared" ref="EK8" si="91">EK7</f>
        <v>160</v>
      </c>
      <c r="EL8" s="2">
        <f t="shared" ref="EL8" si="92">EL7</f>
        <v>163</v>
      </c>
      <c r="EM8" s="2">
        <f t="shared" ref="EM8" si="93">EM7</f>
        <v>164</v>
      </c>
      <c r="EN8" s="2">
        <f t="shared" ref="EN8" si="94">EN7</f>
        <v>165</v>
      </c>
      <c r="EO8" s="2">
        <f t="shared" ref="EO8" si="95">EO7</f>
        <v>166</v>
      </c>
      <c r="EP8" s="2">
        <f t="shared" ref="EP8" si="96">EP7</f>
        <v>167</v>
      </c>
      <c r="EQ8" s="2">
        <f t="shared" ref="EQ8" si="97">EQ7</f>
        <v>170</v>
      </c>
      <c r="ER8" s="2">
        <f t="shared" ref="ER8" si="98">ER7</f>
        <v>171</v>
      </c>
      <c r="ES8" s="2">
        <f t="shared" ref="ES8" si="99">ES7</f>
        <v>172</v>
      </c>
      <c r="ET8" s="2">
        <f t="shared" ref="ET8" si="100">ET7</f>
        <v>173</v>
      </c>
      <c r="EU8" s="2">
        <f t="shared" ref="EU8" si="101">EU7</f>
        <v>174</v>
      </c>
      <c r="EV8" s="2">
        <f t="shared" ref="EV8" si="102">EV7</f>
        <v>177</v>
      </c>
      <c r="EW8" s="2">
        <f t="shared" ref="EW8" si="103">EW7</f>
        <v>178</v>
      </c>
      <c r="EX8" s="2">
        <f t="shared" ref="EX8" si="104">EX7</f>
        <v>179</v>
      </c>
      <c r="EY8" s="2">
        <f t="shared" ref="EY8" si="105">EY7</f>
        <v>180</v>
      </c>
      <c r="EZ8" s="2">
        <f t="shared" ref="EZ8" si="106">EZ7</f>
        <v>181</v>
      </c>
      <c r="FA8" s="2">
        <f t="shared" ref="FA8" si="107">FA7</f>
        <v>184</v>
      </c>
      <c r="FB8" s="2">
        <f t="shared" ref="FB8" si="108">FB7</f>
        <v>185</v>
      </c>
      <c r="FC8" s="2">
        <f t="shared" ref="FC8" si="109">FC7</f>
        <v>186</v>
      </c>
      <c r="FD8" s="2">
        <f t="shared" ref="FD8" si="110">FD7</f>
        <v>187</v>
      </c>
      <c r="FE8" s="2">
        <f t="shared" ref="FE8" si="111">FE7</f>
        <v>188</v>
      </c>
      <c r="FF8" s="2">
        <f t="shared" ref="FF8" si="112">FF7</f>
        <v>191</v>
      </c>
      <c r="FG8" s="2">
        <f t="shared" ref="FG8" si="113">FG7</f>
        <v>192</v>
      </c>
      <c r="FH8" s="2">
        <f t="shared" ref="FH8" si="114">FH7</f>
        <v>193</v>
      </c>
      <c r="FI8" s="2">
        <f t="shared" ref="FI8" si="115">FI7</f>
        <v>194</v>
      </c>
      <c r="FJ8" s="2">
        <f t="shared" ref="FJ8" si="116">FJ7</f>
        <v>195</v>
      </c>
      <c r="FK8" s="2">
        <f t="shared" ref="FK8" si="117">FK7</f>
        <v>198</v>
      </c>
      <c r="FL8" s="2">
        <f t="shared" ref="FL8" si="118">FL7</f>
        <v>199</v>
      </c>
      <c r="FM8" s="2">
        <f t="shared" ref="FM8" si="119">FM7</f>
        <v>200</v>
      </c>
      <c r="FN8" s="2">
        <f t="shared" ref="FN8" si="120">FN7</f>
        <v>201</v>
      </c>
      <c r="FO8" s="2">
        <f t="shared" ref="FO8" si="121">FO7</f>
        <v>202</v>
      </c>
      <c r="FP8" s="2">
        <f t="shared" ref="FP8" si="122">FP7</f>
        <v>205</v>
      </c>
      <c r="FQ8" s="2">
        <f t="shared" ref="FQ8" si="123">FQ7</f>
        <v>206</v>
      </c>
      <c r="FR8" s="2">
        <f t="shared" ref="FR8" si="124">FR7</f>
        <v>207</v>
      </c>
      <c r="FS8" s="2">
        <f t="shared" ref="FS8" si="125">FS7</f>
        <v>208</v>
      </c>
      <c r="FT8" s="2">
        <f t="shared" ref="FT8" si="126">FT7</f>
        <v>209</v>
      </c>
      <c r="FU8" s="2">
        <f t="shared" ref="FU8" si="127">FU7</f>
        <v>212</v>
      </c>
      <c r="FV8" s="2">
        <f t="shared" ref="FV8" si="128">FV7</f>
        <v>213</v>
      </c>
      <c r="FW8" s="2">
        <f t="shared" ref="FW8" si="129">FW7</f>
        <v>214</v>
      </c>
      <c r="FX8" s="2">
        <f t="shared" ref="FX8" si="130">FX7</f>
        <v>215</v>
      </c>
      <c r="FY8" s="2">
        <f t="shared" ref="FY8" si="131">FY7</f>
        <v>216</v>
      </c>
      <c r="FZ8" s="2">
        <f t="shared" ref="FZ8" si="132">FZ7</f>
        <v>219</v>
      </c>
      <c r="GA8" s="2">
        <f t="shared" ref="GA8" si="133">GA7</f>
        <v>220</v>
      </c>
      <c r="GB8" s="2">
        <f t="shared" ref="GB8" si="134">GB7</f>
        <v>221</v>
      </c>
      <c r="GC8" s="2">
        <f t="shared" ref="GC8" si="135">GC7</f>
        <v>222</v>
      </c>
      <c r="GD8" s="2">
        <f t="shared" ref="GD8" si="136">GD7</f>
        <v>223</v>
      </c>
      <c r="GE8" s="2">
        <f t="shared" ref="GE8" si="137">GE7</f>
        <v>226</v>
      </c>
      <c r="GF8" s="2">
        <f t="shared" ref="GF8" si="138">GF7</f>
        <v>227</v>
      </c>
      <c r="GG8" s="2">
        <f t="shared" ref="GG8" si="139">GG7</f>
        <v>228</v>
      </c>
      <c r="GH8" s="2">
        <f t="shared" ref="GH8" si="140">GH7</f>
        <v>229</v>
      </c>
      <c r="GI8" s="2">
        <f t="shared" ref="GI8" si="141">GI7</f>
        <v>230</v>
      </c>
      <c r="GJ8" s="2">
        <f t="shared" ref="GJ8" si="142">GJ7</f>
        <v>233</v>
      </c>
      <c r="GK8" s="2">
        <f t="shared" ref="GK8" si="143">GK7</f>
        <v>234</v>
      </c>
      <c r="GL8" s="2">
        <f t="shared" ref="GL8" si="144">GL7</f>
        <v>235</v>
      </c>
      <c r="GM8" s="2">
        <f t="shared" ref="GM8" si="145">GM7</f>
        <v>236</v>
      </c>
      <c r="GN8" s="2">
        <f t="shared" ref="GN8" si="146">GN7</f>
        <v>237</v>
      </c>
      <c r="GO8" s="2">
        <f t="shared" ref="GO8" si="147">GO7</f>
        <v>240</v>
      </c>
      <c r="GP8" s="2">
        <f t="shared" ref="GP8" si="148">GP7</f>
        <v>241</v>
      </c>
      <c r="GQ8" s="2">
        <f t="shared" ref="GQ8" si="149">GQ7</f>
        <v>242</v>
      </c>
      <c r="GR8" s="2">
        <f t="shared" ref="GR8" si="150">GR7</f>
        <v>243</v>
      </c>
      <c r="GS8" s="2">
        <f t="shared" ref="GS8" si="151">GS7</f>
        <v>244</v>
      </c>
      <c r="GT8" s="2">
        <f t="shared" ref="GT8" si="152">GT7</f>
        <v>247</v>
      </c>
      <c r="GU8" s="2">
        <f t="shared" ref="GU8" si="153">GU7</f>
        <v>248</v>
      </c>
      <c r="GV8" s="2">
        <f t="shared" ref="GV8" si="154">GV7</f>
        <v>249</v>
      </c>
      <c r="GW8" s="2">
        <f t="shared" ref="GW8" si="155">GW7</f>
        <v>250</v>
      </c>
      <c r="GX8" s="2">
        <f t="shared" ref="GX8" si="156">GX7</f>
        <v>251</v>
      </c>
      <c r="GY8" s="2">
        <f t="shared" ref="GY8" si="157">GY7</f>
        <v>254</v>
      </c>
      <c r="GZ8" s="2">
        <f t="shared" ref="GZ8" si="158">GZ7</f>
        <v>255</v>
      </c>
      <c r="HA8" s="2">
        <f t="shared" ref="HA8" si="159">HA7</f>
        <v>256</v>
      </c>
      <c r="HB8" s="2">
        <f t="shared" ref="HB8" si="160">HB7</f>
        <v>257</v>
      </c>
      <c r="HC8" s="2">
        <f t="shared" ref="HC8" si="161">HC7</f>
        <v>258</v>
      </c>
      <c r="HD8" s="2">
        <f t="shared" ref="HD8" si="162">HD7</f>
        <v>261</v>
      </c>
      <c r="HE8" s="2">
        <f t="shared" ref="HE8" si="163">HE7</f>
        <v>262</v>
      </c>
      <c r="HF8" s="2">
        <f t="shared" ref="HF8" si="164">HF7</f>
        <v>263</v>
      </c>
      <c r="HG8" s="2">
        <f t="shared" ref="HG8" si="165">HG7</f>
        <v>264</v>
      </c>
      <c r="HH8" s="2">
        <f t="shared" ref="HH8" si="166">HH7</f>
        <v>265</v>
      </c>
      <c r="HI8" s="2">
        <f t="shared" ref="HI8" si="167">HI7</f>
        <v>268</v>
      </c>
      <c r="HJ8" s="2">
        <f t="shared" ref="HJ8" si="168">HJ7</f>
        <v>269</v>
      </c>
      <c r="HK8" s="2">
        <f t="shared" ref="HK8" si="169">HK7</f>
        <v>270</v>
      </c>
      <c r="HL8" s="2">
        <f t="shared" ref="HL8" si="170">HL7</f>
        <v>271</v>
      </c>
      <c r="HM8" s="2">
        <f t="shared" ref="HM8" si="171">HM7</f>
        <v>272</v>
      </c>
      <c r="HN8" s="2">
        <f t="shared" ref="HN8" si="172">HN7</f>
        <v>275</v>
      </c>
      <c r="HO8" s="2">
        <f t="shared" ref="HO8" si="173">HO7</f>
        <v>276</v>
      </c>
      <c r="HP8" s="2">
        <f t="shared" ref="HP8" si="174">HP7</f>
        <v>277</v>
      </c>
      <c r="HQ8" s="2">
        <f t="shared" ref="HQ8" si="175">HQ7</f>
        <v>278</v>
      </c>
      <c r="HR8" s="2">
        <f t="shared" ref="HR8" si="176">HR7</f>
        <v>279</v>
      </c>
      <c r="HS8" s="2">
        <f t="shared" ref="HS8" si="177">HS7</f>
        <v>282</v>
      </c>
      <c r="HT8" s="2">
        <f t="shared" ref="HT8" si="178">HT7</f>
        <v>283</v>
      </c>
      <c r="HU8" s="2">
        <f t="shared" ref="HU8" si="179">HU7</f>
        <v>284</v>
      </c>
      <c r="HV8" s="7">
        <f t="shared" ref="HV8" si="180">HV7</f>
        <v>285</v>
      </c>
      <c r="HW8" s="14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8"/>
    </row>
    <row r="9" spans="1:242" ht="25.5" customHeight="1" x14ac:dyDescent="0.3">
      <c r="A9" s="18">
        <v>1</v>
      </c>
      <c r="B9" s="67" t="s">
        <v>31</v>
      </c>
      <c r="C9" s="68" t="s">
        <v>33</v>
      </c>
      <c r="D9" s="83" t="s">
        <v>80</v>
      </c>
      <c r="E9" s="16" t="s">
        <v>64</v>
      </c>
      <c r="F9" s="16" t="s">
        <v>65</v>
      </c>
      <c r="G9" s="83" t="s">
        <v>74</v>
      </c>
      <c r="H9" s="16" t="s">
        <v>50</v>
      </c>
      <c r="I9" s="22"/>
      <c r="J9" s="22"/>
      <c r="K9" s="70"/>
      <c r="L9" s="70"/>
      <c r="M9" s="70"/>
      <c r="N9" s="70"/>
      <c r="O9" s="70"/>
      <c r="P9" s="21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</row>
    <row r="10" spans="1:242" ht="25.5" customHeight="1" x14ac:dyDescent="0.3">
      <c r="A10" s="16">
        <v>1.1000000000000001</v>
      </c>
      <c r="B10" s="72"/>
      <c r="C10" s="68" t="s">
        <v>35</v>
      </c>
      <c r="D10" s="83" t="s">
        <v>80</v>
      </c>
      <c r="E10" s="16" t="s">
        <v>66</v>
      </c>
      <c r="F10" s="16" t="s">
        <v>68</v>
      </c>
      <c r="G10" s="83" t="s">
        <v>97</v>
      </c>
      <c r="H10" s="16" t="s">
        <v>51</v>
      </c>
      <c r="I10" s="23"/>
      <c r="J10" s="23"/>
      <c r="K10" s="23"/>
      <c r="L10" s="23"/>
      <c r="M10" s="23"/>
      <c r="N10" s="23"/>
      <c r="O10" s="23"/>
      <c r="P10" s="70"/>
      <c r="Q10" s="70"/>
      <c r="R10" s="70"/>
      <c r="S10" s="70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</row>
    <row r="11" spans="1:242" ht="25.5" customHeight="1" x14ac:dyDescent="0.3">
      <c r="A11" s="16">
        <v>1.2</v>
      </c>
      <c r="B11" s="69"/>
      <c r="C11" s="68" t="s">
        <v>93</v>
      </c>
      <c r="D11" s="83" t="s">
        <v>159</v>
      </c>
      <c r="E11" s="16" t="s">
        <v>94</v>
      </c>
      <c r="F11" s="16" t="s">
        <v>68</v>
      </c>
      <c r="G11" s="83" t="s">
        <v>98</v>
      </c>
      <c r="H11" s="16" t="s">
        <v>51</v>
      </c>
      <c r="I11" s="22"/>
      <c r="J11" s="22"/>
      <c r="K11" s="22"/>
      <c r="L11" s="22"/>
      <c r="M11" s="22"/>
      <c r="N11" s="22"/>
      <c r="O11" s="22"/>
      <c r="P11" s="21"/>
      <c r="Q11" s="70"/>
      <c r="R11" s="70"/>
      <c r="S11" s="70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</row>
    <row r="12" spans="1:242" ht="25.5" customHeight="1" x14ac:dyDescent="0.3">
      <c r="A12" s="18">
        <v>2</v>
      </c>
      <c r="B12" s="31" t="s">
        <v>37</v>
      </c>
      <c r="C12" s="19" t="s">
        <v>38</v>
      </c>
      <c r="D12" s="83" t="s">
        <v>80</v>
      </c>
      <c r="E12" s="16" t="s">
        <v>66</v>
      </c>
      <c r="F12" s="16" t="s">
        <v>67</v>
      </c>
      <c r="G12" s="83" t="s">
        <v>78</v>
      </c>
      <c r="H12" s="16" t="s">
        <v>161</v>
      </c>
      <c r="I12" s="15"/>
      <c r="J12" s="15"/>
      <c r="K12" s="15"/>
      <c r="L12" s="15"/>
      <c r="M12" s="22"/>
      <c r="N12" s="22"/>
      <c r="O12" s="22"/>
      <c r="P12" s="20"/>
      <c r="Q12" s="20"/>
      <c r="R12" s="22"/>
      <c r="S12" s="22"/>
      <c r="T12" s="22"/>
      <c r="U12" s="21"/>
      <c r="V12" s="21"/>
      <c r="W12" s="21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</row>
    <row r="13" spans="1:242" ht="25.5" customHeight="1" x14ac:dyDescent="0.3">
      <c r="A13" s="16">
        <v>2.2000000000000002</v>
      </c>
      <c r="B13" s="32"/>
      <c r="C13" s="19" t="s">
        <v>104</v>
      </c>
      <c r="D13" s="83" t="s">
        <v>80</v>
      </c>
      <c r="E13" s="16" t="s">
        <v>66</v>
      </c>
      <c r="F13" s="16" t="s">
        <v>67</v>
      </c>
      <c r="G13" s="83" t="s">
        <v>121</v>
      </c>
      <c r="H13" s="16" t="s">
        <v>160</v>
      </c>
      <c r="I13" s="15"/>
      <c r="J13" s="15"/>
      <c r="K13" s="15"/>
      <c r="L13" s="15"/>
      <c r="M13" s="15"/>
      <c r="N13" s="15"/>
      <c r="O13" s="22"/>
      <c r="P13" s="20"/>
      <c r="Q13" s="20"/>
      <c r="R13" s="21"/>
      <c r="S13" s="22"/>
      <c r="T13" s="21"/>
      <c r="U13" s="21"/>
      <c r="V13" s="21"/>
      <c r="W13" s="21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</row>
    <row r="14" spans="1:242" ht="25.5" customHeight="1" x14ac:dyDescent="0.3">
      <c r="A14" s="18">
        <v>3</v>
      </c>
      <c r="B14" s="53" t="s">
        <v>96</v>
      </c>
      <c r="C14" s="63" t="s">
        <v>149</v>
      </c>
      <c r="D14" s="83" t="s">
        <v>112</v>
      </c>
      <c r="E14" s="16" t="s">
        <v>119</v>
      </c>
      <c r="F14" s="16" t="s">
        <v>158</v>
      </c>
      <c r="G14" s="83" t="s">
        <v>120</v>
      </c>
      <c r="H14" s="16" t="s">
        <v>52</v>
      </c>
      <c r="I14" s="15"/>
      <c r="J14" s="15"/>
      <c r="K14" s="15"/>
      <c r="L14" s="15"/>
      <c r="M14" s="15"/>
      <c r="N14" s="15"/>
      <c r="O14" s="71"/>
      <c r="P14" s="71"/>
      <c r="Q14" s="71"/>
      <c r="R14" s="71"/>
      <c r="S14" s="21"/>
      <c r="T14" s="21"/>
      <c r="U14" s="21"/>
      <c r="V14" s="21"/>
      <c r="W14" s="21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</row>
    <row r="15" spans="1:242" s="4" customFormat="1" ht="25.5" customHeight="1" x14ac:dyDescent="0.3">
      <c r="A15" s="26">
        <v>3.1</v>
      </c>
      <c r="B15" s="55"/>
      <c r="C15" s="63" t="s">
        <v>150</v>
      </c>
      <c r="D15" s="83" t="s">
        <v>112</v>
      </c>
      <c r="E15" s="16" t="s">
        <v>119</v>
      </c>
      <c r="F15" s="16" t="s">
        <v>158</v>
      </c>
      <c r="G15" s="83" t="s">
        <v>120</v>
      </c>
      <c r="H15" s="16" t="s">
        <v>52</v>
      </c>
      <c r="I15" s="15"/>
      <c r="J15" s="15"/>
      <c r="K15" s="15"/>
      <c r="L15" s="15"/>
      <c r="M15" s="15"/>
      <c r="N15" s="15"/>
      <c r="O15" s="71"/>
      <c r="P15" s="71"/>
      <c r="Q15" s="71"/>
      <c r="R15" s="71"/>
      <c r="S15" s="21"/>
      <c r="T15" s="21"/>
      <c r="U15" s="21"/>
      <c r="V15" s="21"/>
      <c r="W15" s="21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</row>
    <row r="16" spans="1:242" s="4" customFormat="1" ht="25.5" customHeight="1" x14ac:dyDescent="0.3">
      <c r="A16" s="26">
        <v>3.2</v>
      </c>
      <c r="B16" s="55"/>
      <c r="C16" s="63" t="s">
        <v>92</v>
      </c>
      <c r="D16" s="83" t="s">
        <v>112</v>
      </c>
      <c r="E16" s="16" t="s">
        <v>119</v>
      </c>
      <c r="F16" s="16" t="s">
        <v>158</v>
      </c>
      <c r="G16" s="83" t="s">
        <v>120</v>
      </c>
      <c r="H16" s="16" t="s">
        <v>52</v>
      </c>
      <c r="I16" s="15"/>
      <c r="J16" s="15"/>
      <c r="K16" s="15"/>
      <c r="L16" s="15"/>
      <c r="M16" s="15"/>
      <c r="N16" s="15"/>
      <c r="O16" s="71"/>
      <c r="P16" s="71"/>
      <c r="Q16" s="71"/>
      <c r="R16" s="71"/>
      <c r="S16" s="21"/>
      <c r="T16" s="21"/>
      <c r="U16" s="21"/>
      <c r="V16" s="21"/>
      <c r="W16" s="21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</row>
    <row r="17" spans="1:230" s="4" customFormat="1" ht="25.5" customHeight="1" x14ac:dyDescent="0.3">
      <c r="A17" s="26">
        <v>3.3</v>
      </c>
      <c r="B17" s="55"/>
      <c r="C17" s="63" t="s">
        <v>151</v>
      </c>
      <c r="D17" s="83" t="s">
        <v>112</v>
      </c>
      <c r="E17" s="16" t="s">
        <v>119</v>
      </c>
      <c r="F17" s="16" t="s">
        <v>158</v>
      </c>
      <c r="G17" s="83" t="s">
        <v>120</v>
      </c>
      <c r="H17" s="16" t="s">
        <v>52</v>
      </c>
      <c r="I17" s="15"/>
      <c r="J17" s="15"/>
      <c r="K17" s="15"/>
      <c r="L17" s="15"/>
      <c r="M17" s="15"/>
      <c r="N17" s="15"/>
      <c r="O17" s="71"/>
      <c r="P17" s="71"/>
      <c r="Q17" s="71"/>
      <c r="R17" s="71"/>
      <c r="S17" s="21"/>
      <c r="T17" s="21"/>
      <c r="U17" s="21"/>
      <c r="V17" s="21"/>
      <c r="W17" s="21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</row>
    <row r="18" spans="1:230" s="4" customFormat="1" ht="25.5" customHeight="1" x14ac:dyDescent="0.3">
      <c r="A18" s="26">
        <v>3.41</v>
      </c>
      <c r="B18" s="55"/>
      <c r="C18" s="63" t="s">
        <v>152</v>
      </c>
      <c r="D18" s="83" t="s">
        <v>112</v>
      </c>
      <c r="E18" s="16" t="s">
        <v>119</v>
      </c>
      <c r="F18" s="16" t="s">
        <v>158</v>
      </c>
      <c r="G18" s="83" t="s">
        <v>120</v>
      </c>
      <c r="H18" s="16" t="s">
        <v>52</v>
      </c>
      <c r="I18" s="15"/>
      <c r="J18" s="15"/>
      <c r="K18" s="15"/>
      <c r="L18" s="15"/>
      <c r="M18" s="15"/>
      <c r="N18" s="15"/>
      <c r="O18" s="71"/>
      <c r="P18" s="71"/>
      <c r="Q18" s="71"/>
      <c r="R18" s="71"/>
      <c r="S18" s="21"/>
      <c r="T18" s="21"/>
      <c r="U18" s="21"/>
      <c r="V18" s="21"/>
      <c r="W18" s="21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</row>
    <row r="19" spans="1:230" s="4" customFormat="1" ht="25.5" customHeight="1" x14ac:dyDescent="0.3">
      <c r="A19" s="26">
        <v>3.42</v>
      </c>
      <c r="B19" s="55"/>
      <c r="C19" s="63" t="s">
        <v>153</v>
      </c>
      <c r="D19" s="83" t="s">
        <v>112</v>
      </c>
      <c r="E19" s="16" t="s">
        <v>119</v>
      </c>
      <c r="F19" s="16" t="s">
        <v>158</v>
      </c>
      <c r="G19" s="83" t="s">
        <v>122</v>
      </c>
      <c r="H19" s="16" t="s">
        <v>52</v>
      </c>
      <c r="I19" s="15"/>
      <c r="J19" s="15"/>
      <c r="K19" s="15"/>
      <c r="L19" s="15"/>
      <c r="M19" s="15"/>
      <c r="N19" s="15"/>
      <c r="O19" s="71"/>
      <c r="P19" s="71"/>
      <c r="Q19" s="71"/>
      <c r="R19" s="71"/>
      <c r="S19" s="21"/>
      <c r="T19" s="21"/>
      <c r="U19" s="21"/>
      <c r="V19" s="21"/>
      <c r="W19" s="21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</row>
    <row r="20" spans="1:230" s="4" customFormat="1" ht="25.5" customHeight="1" x14ac:dyDescent="0.3">
      <c r="A20" s="26">
        <v>3.43</v>
      </c>
      <c r="B20" s="55"/>
      <c r="C20" s="63" t="s">
        <v>86</v>
      </c>
      <c r="D20" s="83" t="s">
        <v>112</v>
      </c>
      <c r="E20" s="16" t="s">
        <v>119</v>
      </c>
      <c r="F20" s="16" t="s">
        <v>158</v>
      </c>
      <c r="G20" s="83" t="s">
        <v>123</v>
      </c>
      <c r="H20" s="16" t="s">
        <v>52</v>
      </c>
      <c r="I20" s="15"/>
      <c r="J20" s="15"/>
      <c r="K20" s="15"/>
      <c r="L20" s="15"/>
      <c r="M20" s="15"/>
      <c r="N20" s="15"/>
      <c r="O20" s="71"/>
      <c r="P20" s="71"/>
      <c r="Q20" s="71"/>
      <c r="R20" s="71"/>
      <c r="S20" s="21"/>
      <c r="T20" s="21"/>
      <c r="U20" s="21"/>
      <c r="V20" s="21"/>
      <c r="W20" s="21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</row>
    <row r="21" spans="1:230" s="4" customFormat="1" ht="25.5" customHeight="1" x14ac:dyDescent="0.3">
      <c r="A21" s="26">
        <v>3.44</v>
      </c>
      <c r="B21" s="55"/>
      <c r="C21" s="63" t="s">
        <v>87</v>
      </c>
      <c r="D21" s="83" t="s">
        <v>112</v>
      </c>
      <c r="E21" s="16" t="s">
        <v>119</v>
      </c>
      <c r="F21" s="16" t="s">
        <v>158</v>
      </c>
      <c r="G21" s="83" t="s">
        <v>123</v>
      </c>
      <c r="H21" s="16" t="s">
        <v>52</v>
      </c>
      <c r="I21" s="15"/>
      <c r="J21" s="15"/>
      <c r="K21" s="15"/>
      <c r="L21" s="15"/>
      <c r="M21" s="15"/>
      <c r="N21" s="15"/>
      <c r="O21" s="71"/>
      <c r="P21" s="71"/>
      <c r="Q21" s="71"/>
      <c r="R21" s="71"/>
      <c r="S21" s="21"/>
      <c r="T21" s="21"/>
      <c r="U21" s="21"/>
      <c r="V21" s="21"/>
      <c r="W21" s="21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</row>
    <row r="22" spans="1:230" s="4" customFormat="1" ht="25.5" customHeight="1" x14ac:dyDescent="0.3">
      <c r="A22" s="26">
        <v>3.5</v>
      </c>
      <c r="B22" s="55"/>
      <c r="C22" s="63" t="s">
        <v>154</v>
      </c>
      <c r="D22" s="83" t="s">
        <v>112</v>
      </c>
      <c r="E22" s="16" t="s">
        <v>119</v>
      </c>
      <c r="F22" s="16" t="s">
        <v>158</v>
      </c>
      <c r="G22" s="83" t="s">
        <v>124</v>
      </c>
      <c r="H22" s="16" t="s">
        <v>52</v>
      </c>
      <c r="I22" s="15"/>
      <c r="J22" s="15"/>
      <c r="K22" s="15"/>
      <c r="L22" s="15"/>
      <c r="M22" s="15"/>
      <c r="N22" s="15"/>
      <c r="O22" s="71"/>
      <c r="P22" s="71"/>
      <c r="Q22" s="71"/>
      <c r="R22" s="71"/>
      <c r="S22" s="21"/>
      <c r="T22" s="21"/>
      <c r="U22" s="21"/>
      <c r="V22" s="21"/>
      <c r="W22" s="21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</row>
    <row r="23" spans="1:230" s="4" customFormat="1" ht="25.5" customHeight="1" x14ac:dyDescent="0.3">
      <c r="A23" s="26">
        <v>3.6</v>
      </c>
      <c r="B23" s="55"/>
      <c r="C23" s="63" t="s">
        <v>155</v>
      </c>
      <c r="D23" s="83" t="s">
        <v>112</v>
      </c>
      <c r="E23" s="16" t="s">
        <v>119</v>
      </c>
      <c r="F23" s="16" t="s">
        <v>158</v>
      </c>
      <c r="G23" s="83" t="s">
        <v>123</v>
      </c>
      <c r="H23" s="16" t="s">
        <v>52</v>
      </c>
      <c r="I23" s="15"/>
      <c r="J23" s="15"/>
      <c r="K23" s="15"/>
      <c r="L23" s="15"/>
      <c r="M23" s="15"/>
      <c r="N23" s="15"/>
      <c r="O23" s="71"/>
      <c r="P23" s="71"/>
      <c r="Q23" s="71"/>
      <c r="R23" s="71"/>
      <c r="S23" s="21"/>
      <c r="T23" s="21"/>
      <c r="U23" s="21"/>
      <c r="V23" s="21"/>
      <c r="W23" s="21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</row>
    <row r="24" spans="1:230" s="4" customFormat="1" ht="25.5" customHeight="1" x14ac:dyDescent="0.3">
      <c r="A24" s="26">
        <v>3.7</v>
      </c>
      <c r="B24" s="55"/>
      <c r="C24" s="63" t="s">
        <v>156</v>
      </c>
      <c r="D24" s="83" t="s">
        <v>112</v>
      </c>
      <c r="E24" s="16" t="s">
        <v>119</v>
      </c>
      <c r="F24" s="16" t="s">
        <v>158</v>
      </c>
      <c r="G24" s="83" t="s">
        <v>125</v>
      </c>
      <c r="H24" s="16" t="s">
        <v>52</v>
      </c>
      <c r="I24" s="15"/>
      <c r="J24" s="15"/>
      <c r="K24" s="15"/>
      <c r="L24" s="15"/>
      <c r="M24" s="15"/>
      <c r="N24" s="15"/>
      <c r="O24" s="71"/>
      <c r="P24" s="71"/>
      <c r="Q24" s="71"/>
      <c r="R24" s="71"/>
      <c r="S24" s="21"/>
      <c r="T24" s="21"/>
      <c r="U24" s="21"/>
      <c r="V24" s="21"/>
      <c r="W24" s="2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</row>
    <row r="25" spans="1:230" s="4" customFormat="1" ht="25.5" customHeight="1" x14ac:dyDescent="0.3">
      <c r="A25" s="26">
        <v>3.8</v>
      </c>
      <c r="B25" s="55"/>
      <c r="C25" s="63" t="s">
        <v>157</v>
      </c>
      <c r="D25" s="83" t="s">
        <v>112</v>
      </c>
      <c r="E25" s="16" t="s">
        <v>119</v>
      </c>
      <c r="F25" s="16" t="s">
        <v>158</v>
      </c>
      <c r="G25" s="83" t="s">
        <v>125</v>
      </c>
      <c r="H25" s="16" t="s">
        <v>52</v>
      </c>
      <c r="I25" s="15"/>
      <c r="J25" s="15"/>
      <c r="K25" s="15"/>
      <c r="L25" s="15"/>
      <c r="M25" s="15"/>
      <c r="N25" s="15"/>
      <c r="O25" s="71"/>
      <c r="P25" s="71"/>
      <c r="Q25" s="71"/>
      <c r="R25" s="71"/>
      <c r="S25" s="21"/>
      <c r="T25" s="21"/>
      <c r="U25" s="21"/>
      <c r="V25" s="21"/>
      <c r="W25" s="2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</row>
    <row r="26" spans="1:230" ht="25.5" customHeight="1" x14ac:dyDescent="0.3">
      <c r="A26" s="26">
        <v>3.9</v>
      </c>
      <c r="B26" s="56"/>
      <c r="C26" s="54" t="s">
        <v>39</v>
      </c>
      <c r="D26" s="83" t="s">
        <v>81</v>
      </c>
      <c r="E26" s="16" t="s">
        <v>114</v>
      </c>
      <c r="F26" s="16" t="s">
        <v>105</v>
      </c>
      <c r="G26" s="83" t="s">
        <v>77</v>
      </c>
      <c r="H26" s="16" t="s">
        <v>36</v>
      </c>
      <c r="I26" s="15"/>
      <c r="J26" s="15"/>
      <c r="K26" s="15"/>
      <c r="L26" s="15"/>
      <c r="M26" s="15"/>
      <c r="N26" s="15"/>
      <c r="O26" s="15"/>
      <c r="P26" s="15"/>
      <c r="Q26" s="21"/>
      <c r="R26" s="71"/>
      <c r="S26" s="71"/>
      <c r="T26" s="71"/>
      <c r="U26" s="71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</row>
    <row r="27" spans="1:230" ht="25.5" customHeight="1" x14ac:dyDescent="0.3">
      <c r="A27" s="18">
        <v>4</v>
      </c>
      <c r="B27" s="57" t="s">
        <v>40</v>
      </c>
      <c r="C27" s="58" t="s">
        <v>41</v>
      </c>
      <c r="D27" s="83" t="s">
        <v>113</v>
      </c>
      <c r="E27" s="16" t="s">
        <v>115</v>
      </c>
      <c r="F27" s="16" t="s">
        <v>105</v>
      </c>
      <c r="G27" s="83" t="s">
        <v>118</v>
      </c>
      <c r="H27" s="16" t="s">
        <v>36</v>
      </c>
      <c r="I27" s="15"/>
      <c r="J27" s="15"/>
      <c r="K27" s="15"/>
      <c r="L27" s="15"/>
      <c r="M27" s="15"/>
      <c r="N27" s="15"/>
      <c r="O27" s="15"/>
      <c r="P27" s="21"/>
      <c r="Q27" s="21"/>
      <c r="R27" s="21"/>
      <c r="S27" s="60"/>
      <c r="T27" s="60"/>
      <c r="U27" s="60"/>
      <c r="V27" s="21"/>
      <c r="W27" s="21"/>
      <c r="X27" s="21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</row>
    <row r="28" spans="1:230" ht="25.5" customHeight="1" x14ac:dyDescent="0.3">
      <c r="A28" s="26">
        <v>4.0999999999999996</v>
      </c>
      <c r="B28" s="59"/>
      <c r="C28" s="58" t="s">
        <v>103</v>
      </c>
      <c r="D28" s="83" t="s">
        <v>113</v>
      </c>
      <c r="E28" s="16" t="s">
        <v>116</v>
      </c>
      <c r="F28" s="16" t="s">
        <v>105</v>
      </c>
      <c r="G28" s="83" t="s">
        <v>118</v>
      </c>
      <c r="H28" s="16" t="s">
        <v>36</v>
      </c>
      <c r="I28" s="15"/>
      <c r="J28" s="15"/>
      <c r="K28" s="15"/>
      <c r="L28" s="15"/>
      <c r="M28" s="15"/>
      <c r="N28" s="15"/>
      <c r="O28" s="15"/>
      <c r="P28" s="21"/>
      <c r="Q28" s="21"/>
      <c r="R28" s="21"/>
      <c r="S28" s="60"/>
      <c r="T28" s="60"/>
      <c r="U28" s="60"/>
      <c r="V28" s="21"/>
      <c r="W28" s="21"/>
      <c r="X28" s="21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</row>
    <row r="29" spans="1:230" s="4" customFormat="1" ht="25.5" customHeight="1" x14ac:dyDescent="0.3">
      <c r="A29" s="18">
        <v>5</v>
      </c>
      <c r="B29" s="75" t="s">
        <v>164</v>
      </c>
      <c r="C29" s="62" t="s">
        <v>140</v>
      </c>
      <c r="D29" s="28" t="s">
        <v>111</v>
      </c>
      <c r="E29" s="16" t="s">
        <v>116</v>
      </c>
      <c r="F29" s="16" t="s">
        <v>105</v>
      </c>
      <c r="G29" s="28" t="s">
        <v>117</v>
      </c>
      <c r="H29" s="16" t="s">
        <v>36</v>
      </c>
      <c r="I29" s="15"/>
      <c r="J29" s="15"/>
      <c r="K29" s="15"/>
      <c r="L29" s="15"/>
      <c r="M29" s="15"/>
      <c r="N29" s="15"/>
      <c r="O29" s="15"/>
      <c r="P29" s="15"/>
      <c r="Q29" s="74"/>
      <c r="R29" s="74"/>
      <c r="S29" s="74"/>
      <c r="T29" s="74"/>
      <c r="U29" s="79"/>
      <c r="V29" s="21"/>
      <c r="W29" s="21"/>
      <c r="X29" s="21"/>
      <c r="Y29" s="21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</row>
    <row r="30" spans="1:230" ht="25.5" customHeight="1" x14ac:dyDescent="0.3">
      <c r="A30" s="26">
        <v>5.0999999999999996</v>
      </c>
      <c r="B30" s="61"/>
      <c r="C30" s="62" t="s">
        <v>82</v>
      </c>
      <c r="D30" s="83" t="s">
        <v>107</v>
      </c>
      <c r="E30" s="16" t="s">
        <v>128</v>
      </c>
      <c r="F30" s="16" t="s">
        <v>72</v>
      </c>
      <c r="G30" s="83" t="s">
        <v>126</v>
      </c>
      <c r="H30" s="16" t="s">
        <v>36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22"/>
      <c r="U30" s="21"/>
      <c r="V30" s="74"/>
      <c r="W30" s="74"/>
      <c r="X30" s="73"/>
      <c r="Y30" s="74"/>
      <c r="Z30" s="74"/>
      <c r="AA30" s="73"/>
      <c r="AB30" s="74"/>
      <c r="AC30" s="74"/>
      <c r="AD30" s="74"/>
      <c r="AE30" s="82"/>
      <c r="AF30" s="74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</row>
    <row r="31" spans="1:230" ht="25.5" customHeight="1" x14ac:dyDescent="0.3">
      <c r="A31" s="16">
        <v>5.2</v>
      </c>
      <c r="B31" s="61"/>
      <c r="C31" s="62" t="s">
        <v>95</v>
      </c>
      <c r="D31" s="83" t="s">
        <v>101</v>
      </c>
      <c r="E31" s="16" t="s">
        <v>70</v>
      </c>
      <c r="F31" s="16" t="s">
        <v>72</v>
      </c>
      <c r="G31" s="83" t="s">
        <v>127</v>
      </c>
      <c r="H31" s="16" t="s">
        <v>36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22"/>
      <c r="T31" s="22"/>
      <c r="U31" s="22"/>
      <c r="V31" s="22"/>
      <c r="W31" s="22"/>
      <c r="X31" s="22"/>
      <c r="Y31" s="22"/>
      <c r="Z31" s="74"/>
      <c r="AA31" s="73"/>
      <c r="AB31" s="74"/>
      <c r="AC31" s="74"/>
      <c r="AD31" s="74"/>
      <c r="AE31" s="82"/>
      <c r="AF31" s="74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</row>
    <row r="32" spans="1:230" ht="25.5" customHeight="1" x14ac:dyDescent="0.3">
      <c r="A32" s="26">
        <v>5.3</v>
      </c>
      <c r="B32" s="61"/>
      <c r="C32" s="62" t="s">
        <v>92</v>
      </c>
      <c r="D32" s="83" t="s">
        <v>101</v>
      </c>
      <c r="E32" s="16" t="s">
        <v>70</v>
      </c>
      <c r="F32" s="16" t="s">
        <v>72</v>
      </c>
      <c r="G32" s="83" t="s">
        <v>75</v>
      </c>
      <c r="H32" s="16" t="s">
        <v>36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22"/>
      <c r="T32" s="22"/>
      <c r="U32" s="22"/>
      <c r="V32" s="22"/>
      <c r="W32" s="22"/>
      <c r="X32" s="22"/>
      <c r="Y32" s="22"/>
      <c r="Z32" s="74"/>
      <c r="AA32" s="73"/>
      <c r="AB32" s="74"/>
      <c r="AC32" s="74"/>
      <c r="AD32" s="74"/>
      <c r="AE32" s="82"/>
      <c r="AF32" s="74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</row>
    <row r="33" spans="1:230" ht="25.5" customHeight="1" x14ac:dyDescent="0.3">
      <c r="A33" s="16">
        <v>5.4</v>
      </c>
      <c r="B33" s="61"/>
      <c r="C33" s="62" t="s">
        <v>83</v>
      </c>
      <c r="D33" s="83" t="s">
        <v>102</v>
      </c>
      <c r="E33" s="16" t="s">
        <v>70</v>
      </c>
      <c r="F33" s="16" t="s">
        <v>72</v>
      </c>
      <c r="G33" s="83" t="s">
        <v>75</v>
      </c>
      <c r="H33" s="16" t="s">
        <v>36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22"/>
      <c r="T33" s="22"/>
      <c r="U33" s="22"/>
      <c r="V33" s="22"/>
      <c r="W33" s="22"/>
      <c r="X33" s="22"/>
      <c r="Y33" s="22"/>
      <c r="Z33" s="74"/>
      <c r="AA33" s="73"/>
      <c r="AB33" s="74"/>
      <c r="AC33" s="74"/>
      <c r="AD33" s="74"/>
      <c r="AE33" s="82"/>
      <c r="AF33" s="74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</row>
    <row r="34" spans="1:230" s="4" customFormat="1" ht="25.5" customHeight="1" x14ac:dyDescent="0.3">
      <c r="A34" s="16">
        <v>5.41</v>
      </c>
      <c r="B34" s="61"/>
      <c r="C34" s="62" t="s">
        <v>162</v>
      </c>
      <c r="D34" s="83" t="s">
        <v>102</v>
      </c>
      <c r="E34" s="16" t="s">
        <v>70</v>
      </c>
      <c r="F34" s="16" t="s">
        <v>72</v>
      </c>
      <c r="G34" s="83" t="s">
        <v>75</v>
      </c>
      <c r="H34" s="16" t="s">
        <v>36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22"/>
      <c r="T34" s="22"/>
      <c r="U34" s="22"/>
      <c r="V34" s="22"/>
      <c r="W34" s="22"/>
      <c r="X34" s="22"/>
      <c r="Y34" s="22"/>
      <c r="Z34" s="74"/>
      <c r="AA34" s="73"/>
      <c r="AB34" s="74"/>
      <c r="AC34" s="74"/>
      <c r="AD34" s="74"/>
      <c r="AE34" s="82"/>
      <c r="AF34" s="74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</row>
    <row r="35" spans="1:230" s="4" customFormat="1" ht="25.5" customHeight="1" x14ac:dyDescent="0.3">
      <c r="A35" s="16">
        <v>5.42</v>
      </c>
      <c r="B35" s="61"/>
      <c r="C35" s="62" t="s">
        <v>163</v>
      </c>
      <c r="D35" s="83" t="s">
        <v>102</v>
      </c>
      <c r="E35" s="16" t="s">
        <v>70</v>
      </c>
      <c r="F35" s="16" t="s">
        <v>72</v>
      </c>
      <c r="G35" s="83" t="s">
        <v>75</v>
      </c>
      <c r="H35" s="16" t="s">
        <v>36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22"/>
      <c r="T35" s="22"/>
      <c r="U35" s="22"/>
      <c r="V35" s="22"/>
      <c r="W35" s="22"/>
      <c r="X35" s="22"/>
      <c r="Y35" s="22"/>
      <c r="Z35" s="74"/>
      <c r="AA35" s="73"/>
      <c r="AB35" s="74"/>
      <c r="AC35" s="74"/>
      <c r="AD35" s="74"/>
      <c r="AE35" s="82"/>
      <c r="AF35" s="74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</row>
    <row r="36" spans="1:230" ht="25.5" customHeight="1" x14ac:dyDescent="0.3">
      <c r="A36" s="26">
        <v>5.51</v>
      </c>
      <c r="B36" s="61"/>
      <c r="C36" s="62" t="s">
        <v>84</v>
      </c>
      <c r="D36" s="28" t="s">
        <v>106</v>
      </c>
      <c r="E36" s="16" t="s">
        <v>70</v>
      </c>
      <c r="F36" s="16" t="s">
        <v>72</v>
      </c>
      <c r="G36" s="83" t="s">
        <v>75</v>
      </c>
      <c r="H36" s="16" t="s">
        <v>36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74"/>
      <c r="AA36" s="73"/>
      <c r="AB36" s="74"/>
      <c r="AC36" s="74"/>
      <c r="AD36" s="74"/>
      <c r="AE36" s="82"/>
      <c r="AF36" s="74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</row>
    <row r="37" spans="1:230" ht="25.5" customHeight="1" x14ac:dyDescent="0.3">
      <c r="A37" s="16">
        <v>5.52</v>
      </c>
      <c r="B37" s="61"/>
      <c r="C37" s="62" t="s">
        <v>85</v>
      </c>
      <c r="D37" s="28" t="s">
        <v>106</v>
      </c>
      <c r="E37" s="16" t="s">
        <v>70</v>
      </c>
      <c r="F37" s="16" t="s">
        <v>72</v>
      </c>
      <c r="G37" s="83" t="s">
        <v>75</v>
      </c>
      <c r="H37" s="16" t="s">
        <v>36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74"/>
      <c r="AA37" s="73"/>
      <c r="AB37" s="74"/>
      <c r="AC37" s="74"/>
      <c r="AD37" s="74"/>
      <c r="AE37" s="82"/>
      <c r="AF37" s="74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</row>
    <row r="38" spans="1:230" ht="25.5" customHeight="1" x14ac:dyDescent="0.3">
      <c r="A38" s="26">
        <v>5.53</v>
      </c>
      <c r="B38" s="61"/>
      <c r="C38" s="62" t="s">
        <v>86</v>
      </c>
      <c r="D38" s="28" t="s">
        <v>106</v>
      </c>
      <c r="E38" s="16" t="s">
        <v>70</v>
      </c>
      <c r="F38" s="16" t="s">
        <v>72</v>
      </c>
      <c r="G38" s="83" t="s">
        <v>75</v>
      </c>
      <c r="H38" s="16" t="s">
        <v>36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74"/>
      <c r="AA38" s="73"/>
      <c r="AB38" s="74"/>
      <c r="AC38" s="74"/>
      <c r="AD38" s="74"/>
      <c r="AE38" s="82"/>
      <c r="AF38" s="74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</row>
    <row r="39" spans="1:230" ht="25.5" customHeight="1" x14ac:dyDescent="0.3">
      <c r="A39" s="16">
        <v>5.54</v>
      </c>
      <c r="B39" s="61"/>
      <c r="C39" s="62" t="s">
        <v>87</v>
      </c>
      <c r="D39" s="28" t="s">
        <v>106</v>
      </c>
      <c r="E39" s="16" t="s">
        <v>70</v>
      </c>
      <c r="F39" s="16" t="s">
        <v>72</v>
      </c>
      <c r="G39" s="83" t="s">
        <v>75</v>
      </c>
      <c r="H39" s="16" t="s">
        <v>36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74"/>
      <c r="AA39" s="73"/>
      <c r="AB39" s="74"/>
      <c r="AC39" s="74"/>
      <c r="AD39" s="74"/>
      <c r="AE39" s="82"/>
      <c r="AF39" s="74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</row>
    <row r="40" spans="1:230" ht="25.5" customHeight="1" x14ac:dyDescent="0.3">
      <c r="A40" s="26">
        <v>5.6</v>
      </c>
      <c r="B40" s="61"/>
      <c r="C40" s="62" t="s">
        <v>88</v>
      </c>
      <c r="D40" s="28" t="s">
        <v>108</v>
      </c>
      <c r="E40" s="15" t="s">
        <v>129</v>
      </c>
      <c r="F40" s="15" t="s">
        <v>130</v>
      </c>
      <c r="G40" s="28" t="s">
        <v>131</v>
      </c>
      <c r="H40" s="16" t="s">
        <v>36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74"/>
      <c r="T40" s="73"/>
      <c r="U40" s="74"/>
      <c r="V40" s="74"/>
      <c r="W40" s="74"/>
      <c r="X40" s="82"/>
      <c r="Y40" s="74"/>
      <c r="Z40" s="22"/>
      <c r="AA40" s="22"/>
      <c r="AB40" s="22"/>
      <c r="AC40" s="22"/>
      <c r="AD40" s="22"/>
      <c r="AE40" s="22"/>
      <c r="AF40" s="22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</row>
    <row r="41" spans="1:230" ht="25.5" customHeight="1" x14ac:dyDescent="0.3">
      <c r="A41" s="16">
        <v>5.7</v>
      </c>
      <c r="B41" s="61"/>
      <c r="C41" s="62" t="s">
        <v>89</v>
      </c>
      <c r="D41" s="28" t="s">
        <v>108</v>
      </c>
      <c r="E41" s="15" t="s">
        <v>70</v>
      </c>
      <c r="F41" s="15" t="s">
        <v>134</v>
      </c>
      <c r="G41" s="28" t="s">
        <v>131</v>
      </c>
      <c r="H41" s="16" t="s">
        <v>36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74"/>
      <c r="AA41" s="73"/>
      <c r="AB41" s="74"/>
      <c r="AC41" s="74"/>
      <c r="AD41" s="74"/>
      <c r="AE41" s="82"/>
      <c r="AF41" s="74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</row>
    <row r="42" spans="1:230" ht="25.5" customHeight="1" x14ac:dyDescent="0.3">
      <c r="A42" s="26">
        <v>5.8</v>
      </c>
      <c r="B42" s="61"/>
      <c r="C42" s="62" t="s">
        <v>90</v>
      </c>
      <c r="D42" s="28" t="s">
        <v>109</v>
      </c>
      <c r="E42" s="15" t="s">
        <v>132</v>
      </c>
      <c r="F42" s="15" t="s">
        <v>133</v>
      </c>
      <c r="G42" s="28" t="s">
        <v>131</v>
      </c>
      <c r="H42" s="16" t="s">
        <v>36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74"/>
      <c r="T42" s="73"/>
      <c r="U42" s="74"/>
      <c r="V42" s="73"/>
      <c r="W42" s="74"/>
      <c r="X42" s="82"/>
      <c r="Y42" s="74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</row>
    <row r="43" spans="1:230" ht="25.5" customHeight="1" x14ac:dyDescent="0.3">
      <c r="A43" s="16">
        <v>5.9</v>
      </c>
      <c r="B43" s="61"/>
      <c r="C43" s="62" t="s">
        <v>91</v>
      </c>
      <c r="D43" s="28" t="s">
        <v>110</v>
      </c>
      <c r="E43" s="15" t="s">
        <v>132</v>
      </c>
      <c r="F43" s="15" t="s">
        <v>133</v>
      </c>
      <c r="G43" s="28" t="s">
        <v>131</v>
      </c>
      <c r="H43" s="16" t="s">
        <v>36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74"/>
      <c r="T43" s="73"/>
      <c r="U43" s="74"/>
      <c r="V43" s="73"/>
      <c r="W43" s="74"/>
      <c r="X43" s="82"/>
      <c r="Y43" s="74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</row>
    <row r="44" spans="1:230" ht="25.5" customHeight="1" x14ac:dyDescent="0.3">
      <c r="A44" s="27">
        <v>6</v>
      </c>
      <c r="B44" s="64" t="s">
        <v>44</v>
      </c>
      <c r="C44" s="80" t="s">
        <v>45</v>
      </c>
      <c r="D44" s="28" t="s">
        <v>112</v>
      </c>
      <c r="E44" s="16" t="s">
        <v>69</v>
      </c>
      <c r="F44" s="16" t="s">
        <v>73</v>
      </c>
      <c r="G44" s="83" t="s">
        <v>137</v>
      </c>
      <c r="H44" s="16" t="s">
        <v>36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21"/>
      <c r="T44" s="21"/>
      <c r="U44" s="21"/>
      <c r="V44" s="21"/>
      <c r="W44" s="22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</row>
    <row r="45" spans="1:230" ht="25.5" customHeight="1" x14ac:dyDescent="0.3">
      <c r="A45" s="15">
        <v>6.1</v>
      </c>
      <c r="B45" s="65"/>
      <c r="C45" s="81" t="s">
        <v>46</v>
      </c>
      <c r="D45" s="28" t="s">
        <v>112</v>
      </c>
      <c r="E45" s="16" t="s">
        <v>135</v>
      </c>
      <c r="F45" s="16" t="s">
        <v>136</v>
      </c>
      <c r="G45" s="83" t="s">
        <v>121</v>
      </c>
      <c r="H45" s="16" t="s">
        <v>36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21"/>
      <c r="AG45" s="21"/>
      <c r="AH45" s="21"/>
      <c r="AI45" s="21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</row>
    <row r="46" spans="1:230" ht="25.5" customHeight="1" x14ac:dyDescent="0.3">
      <c r="A46" s="15">
        <v>6.2</v>
      </c>
      <c r="B46" s="65"/>
      <c r="C46" s="78" t="s">
        <v>47</v>
      </c>
      <c r="D46" s="28" t="s">
        <v>112</v>
      </c>
      <c r="E46" s="16" t="s">
        <v>138</v>
      </c>
      <c r="F46" s="16" t="s">
        <v>73</v>
      </c>
      <c r="G46" s="83" t="s">
        <v>97</v>
      </c>
      <c r="H46" s="16" t="s">
        <v>36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21"/>
      <c r="AF46" s="79"/>
      <c r="AG46" s="79"/>
      <c r="AH46" s="79"/>
      <c r="AI46" s="21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</row>
    <row r="47" spans="1:230" ht="25.5" customHeight="1" x14ac:dyDescent="0.3">
      <c r="A47" s="15">
        <v>6.3</v>
      </c>
      <c r="B47" s="66"/>
      <c r="C47" s="76" t="s">
        <v>48</v>
      </c>
      <c r="D47" s="28" t="s">
        <v>112</v>
      </c>
      <c r="E47" s="16" t="s">
        <v>71</v>
      </c>
      <c r="F47" s="16" t="s">
        <v>73</v>
      </c>
      <c r="G47" s="83" t="s">
        <v>76</v>
      </c>
      <c r="H47" s="16" t="s">
        <v>36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77"/>
      <c r="AI47" s="21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</row>
    <row r="48" spans="1:230" x14ac:dyDescent="0.3">
      <c r="A48" s="15"/>
      <c r="B48" s="15"/>
      <c r="C48" s="16"/>
      <c r="D48" s="28"/>
      <c r="E48" s="16"/>
      <c r="F48" s="16"/>
      <c r="G48" s="83"/>
      <c r="H48" s="16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</row>
    <row r="49" spans="1:230" x14ac:dyDescent="0.3">
      <c r="A49" s="15"/>
      <c r="B49" s="15"/>
      <c r="C49" s="16"/>
      <c r="D49" s="28"/>
      <c r="E49" s="16"/>
      <c r="F49" s="16"/>
      <c r="G49" s="83"/>
      <c r="H49" s="16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</row>
    <row r="50" spans="1:230" x14ac:dyDescent="0.3">
      <c r="A50" s="15"/>
      <c r="B50" s="15"/>
      <c r="C50" s="16"/>
      <c r="D50" s="28"/>
      <c r="E50" s="16"/>
      <c r="F50" s="16"/>
      <c r="G50" s="83"/>
      <c r="H50" s="16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</row>
    <row r="51" spans="1:230" x14ac:dyDescent="0.3">
      <c r="A51" s="15"/>
      <c r="B51" s="15"/>
      <c r="C51" s="16"/>
      <c r="D51" s="28"/>
      <c r="E51" s="16"/>
      <c r="F51" s="16"/>
      <c r="G51" s="83"/>
      <c r="H51" s="16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</row>
    <row r="52" spans="1:230" x14ac:dyDescent="0.3">
      <c r="A52" s="15"/>
      <c r="B52" s="15"/>
      <c r="C52" s="16"/>
      <c r="D52" s="28"/>
      <c r="E52" s="16"/>
      <c r="F52" s="16"/>
      <c r="G52" s="83"/>
      <c r="H52" s="16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</row>
    <row r="53" spans="1:230" x14ac:dyDescent="0.3">
      <c r="A53" s="15"/>
      <c r="B53" s="15"/>
      <c r="C53" s="16"/>
      <c r="D53" s="28"/>
      <c r="E53" s="16"/>
      <c r="F53" s="16"/>
      <c r="G53" s="83"/>
      <c r="H53" s="16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</row>
    <row r="54" spans="1:230" x14ac:dyDescent="0.3">
      <c r="A54" s="15"/>
      <c r="B54" s="15"/>
      <c r="C54" s="16"/>
      <c r="D54" s="28"/>
      <c r="E54" s="16"/>
      <c r="F54" s="16"/>
      <c r="G54" s="83"/>
      <c r="H54" s="16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</row>
    <row r="55" spans="1:230" x14ac:dyDescent="0.3">
      <c r="A55" s="15"/>
      <c r="B55" s="15"/>
      <c r="C55" s="16"/>
      <c r="D55" s="28"/>
      <c r="E55" s="15"/>
      <c r="F55" s="15"/>
      <c r="G55" s="28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</row>
    <row r="56" spans="1:230" x14ac:dyDescent="0.3">
      <c r="A56" s="15"/>
      <c r="B56" s="15"/>
      <c r="C56" s="16"/>
      <c r="D56" s="28"/>
      <c r="E56" s="15"/>
      <c r="F56" s="15"/>
      <c r="G56" s="28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</row>
    <row r="57" spans="1:230" x14ac:dyDescent="0.3">
      <c r="A57" s="15"/>
      <c r="B57" s="15"/>
      <c r="C57" s="16"/>
      <c r="D57" s="28"/>
      <c r="E57" s="15"/>
      <c r="F57" s="15"/>
      <c r="G57" s="28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</row>
    <row r="58" spans="1:230" x14ac:dyDescent="0.3">
      <c r="A58" s="15"/>
      <c r="B58" s="15"/>
      <c r="C58" s="16"/>
      <c r="D58" s="28"/>
      <c r="E58" s="15"/>
      <c r="F58" s="15"/>
      <c r="G58" s="28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</row>
    <row r="59" spans="1:230" x14ac:dyDescent="0.3">
      <c r="A59" s="15"/>
      <c r="B59" s="15"/>
      <c r="C59" s="16"/>
      <c r="D59" s="28"/>
      <c r="E59" s="15"/>
      <c r="F59" s="15"/>
      <c r="G59" s="28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</row>
    <row r="60" spans="1:230" x14ac:dyDescent="0.3">
      <c r="A60" s="15"/>
      <c r="B60" s="15"/>
      <c r="C60" s="16"/>
      <c r="D60" s="28"/>
      <c r="E60" s="15"/>
      <c r="F60" s="15"/>
      <c r="G60" s="28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</row>
    <row r="61" spans="1:230" x14ac:dyDescent="0.3">
      <c r="A61" s="15"/>
      <c r="B61" s="15"/>
      <c r="C61" s="16"/>
      <c r="D61" s="28"/>
      <c r="E61" s="15"/>
      <c r="F61" s="15"/>
      <c r="G61" s="28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</row>
    <row r="62" spans="1:230" x14ac:dyDescent="0.3">
      <c r="A62" s="15"/>
      <c r="B62" s="15"/>
      <c r="C62" s="16"/>
      <c r="D62" s="28"/>
      <c r="E62" s="15"/>
      <c r="F62" s="15"/>
      <c r="G62" s="28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</row>
    <row r="63" spans="1:230" x14ac:dyDescent="0.3">
      <c r="A63" s="15"/>
      <c r="B63" s="15"/>
      <c r="C63" s="16"/>
      <c r="D63" s="28"/>
      <c r="E63" s="15"/>
      <c r="F63" s="15"/>
      <c r="G63" s="28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</row>
    <row r="64" spans="1:230" x14ac:dyDescent="0.3">
      <c r="A64" s="15"/>
      <c r="B64" s="15"/>
      <c r="C64" s="16"/>
      <c r="D64" s="28"/>
      <c r="E64" s="15"/>
      <c r="F64" s="15"/>
      <c r="G64" s="28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</row>
    <row r="65" spans="1:230" x14ac:dyDescent="0.3">
      <c r="A65" s="15"/>
      <c r="B65" s="15"/>
      <c r="C65" s="16"/>
      <c r="D65" s="28"/>
      <c r="E65" s="15"/>
      <c r="F65" s="15"/>
      <c r="G65" s="28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</row>
    <row r="66" spans="1:230" x14ac:dyDescent="0.3">
      <c r="A66" s="15"/>
      <c r="B66" s="15"/>
      <c r="C66" s="16"/>
      <c r="D66" s="28"/>
      <c r="E66" s="15"/>
      <c r="F66" s="15"/>
      <c r="G66" s="28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</row>
    <row r="67" spans="1:230" x14ac:dyDescent="0.3">
      <c r="A67" s="15"/>
      <c r="B67" s="15"/>
      <c r="C67" s="16"/>
      <c r="D67" s="28"/>
      <c r="E67" s="15"/>
      <c r="F67" s="15"/>
      <c r="G67" s="28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</row>
    <row r="68" spans="1:230" x14ac:dyDescent="0.3">
      <c r="A68" s="15"/>
      <c r="B68" s="15"/>
      <c r="C68" s="16"/>
      <c r="D68" s="28"/>
      <c r="E68" s="15"/>
      <c r="F68" s="15"/>
      <c r="G68" s="28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</row>
    <row r="69" spans="1:230" x14ac:dyDescent="0.3">
      <c r="A69" s="15"/>
      <c r="B69" s="15"/>
      <c r="C69" s="16"/>
      <c r="D69" s="28"/>
      <c r="E69" s="15"/>
      <c r="F69" s="15"/>
      <c r="G69" s="28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</row>
    <row r="70" spans="1:230" x14ac:dyDescent="0.3">
      <c r="A70" s="15"/>
      <c r="B70" s="15"/>
      <c r="C70" s="16"/>
      <c r="D70" s="28"/>
      <c r="E70" s="15"/>
      <c r="F70" s="15"/>
      <c r="G70" s="28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</row>
    <row r="71" spans="1:230" x14ac:dyDescent="0.3">
      <c r="A71" s="15"/>
      <c r="B71" s="15"/>
      <c r="C71" s="16"/>
      <c r="D71" s="28"/>
      <c r="E71" s="15"/>
      <c r="F71" s="15"/>
      <c r="G71" s="28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</row>
    <row r="72" spans="1:230" x14ac:dyDescent="0.3">
      <c r="A72" s="15"/>
      <c r="B72" s="15"/>
      <c r="C72" s="16"/>
      <c r="D72" s="28"/>
      <c r="E72" s="15"/>
      <c r="F72" s="15"/>
      <c r="G72" s="28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</row>
    <row r="73" spans="1:230" x14ac:dyDescent="0.3">
      <c r="A73" s="15"/>
      <c r="B73" s="15"/>
      <c r="C73" s="16"/>
      <c r="D73" s="28"/>
      <c r="E73" s="15"/>
      <c r="F73" s="15"/>
      <c r="G73" s="28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</row>
    <row r="74" spans="1:230" x14ac:dyDescent="0.3">
      <c r="A74" s="15"/>
      <c r="B74" s="15"/>
      <c r="C74" s="16"/>
      <c r="D74" s="28"/>
      <c r="E74" s="15"/>
      <c r="F74" s="15"/>
      <c r="G74" s="28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</row>
    <row r="75" spans="1:230" x14ac:dyDescent="0.3">
      <c r="A75" s="15"/>
      <c r="B75" s="15"/>
      <c r="C75" s="16"/>
      <c r="D75" s="28"/>
      <c r="E75" s="15"/>
      <c r="F75" s="15"/>
      <c r="G75" s="28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</row>
    <row r="76" spans="1:230" x14ac:dyDescent="0.3">
      <c r="A76" s="15"/>
      <c r="B76" s="15"/>
      <c r="C76" s="16"/>
      <c r="D76" s="28"/>
      <c r="E76" s="15"/>
      <c r="F76" s="15"/>
      <c r="G76" s="28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</row>
    <row r="77" spans="1:230" x14ac:dyDescent="0.3">
      <c r="A77" s="15"/>
      <c r="B77" s="15"/>
      <c r="C77" s="16"/>
      <c r="D77" s="28"/>
      <c r="E77" s="15"/>
      <c r="F77" s="15"/>
      <c r="G77" s="28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</row>
    <row r="78" spans="1:230" x14ac:dyDescent="0.3">
      <c r="A78" s="15"/>
      <c r="B78" s="15"/>
      <c r="C78" s="16"/>
      <c r="D78" s="28"/>
      <c r="E78" s="15"/>
      <c r="F78" s="15"/>
      <c r="G78" s="28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</row>
    <row r="79" spans="1:230" x14ac:dyDescent="0.3">
      <c r="A79" s="15"/>
      <c r="B79" s="15"/>
      <c r="C79" s="16"/>
      <c r="D79" s="28"/>
      <c r="E79" s="15"/>
      <c r="F79" s="15"/>
      <c r="G79" s="28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</row>
    <row r="80" spans="1:230" x14ac:dyDescent="0.3">
      <c r="A80" s="15"/>
      <c r="B80" s="15"/>
      <c r="C80" s="16"/>
      <c r="D80" s="28"/>
      <c r="E80" s="15"/>
      <c r="F80" s="15"/>
      <c r="G80" s="28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</row>
    <row r="81" spans="1:230" x14ac:dyDescent="0.3">
      <c r="A81" s="15"/>
      <c r="B81" s="15"/>
      <c r="C81" s="16"/>
      <c r="D81" s="28"/>
      <c r="E81" s="15"/>
      <c r="F81" s="15"/>
      <c r="G81" s="28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</row>
    <row r="82" spans="1:230" x14ac:dyDescent="0.3">
      <c r="A82" s="15"/>
      <c r="B82" s="15"/>
      <c r="C82" s="16"/>
      <c r="D82" s="28"/>
      <c r="E82" s="15"/>
      <c r="F82" s="15"/>
      <c r="G82" s="28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</row>
    <row r="83" spans="1:230" x14ac:dyDescent="0.3">
      <c r="A83" s="15"/>
      <c r="B83" s="15"/>
      <c r="C83" s="16"/>
      <c r="D83" s="28"/>
      <c r="E83" s="15"/>
      <c r="F83" s="15"/>
      <c r="G83" s="28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</row>
    <row r="84" spans="1:230" x14ac:dyDescent="0.3">
      <c r="A84" s="15"/>
      <c r="B84" s="15"/>
      <c r="C84" s="16"/>
      <c r="D84" s="28"/>
      <c r="E84" s="15"/>
      <c r="F84" s="15"/>
      <c r="G84" s="28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</row>
    <row r="85" spans="1:230" x14ac:dyDescent="0.3">
      <c r="A85" s="15"/>
      <c r="B85" s="15"/>
      <c r="C85" s="16"/>
      <c r="D85" s="28"/>
      <c r="E85" s="15"/>
      <c r="F85" s="15"/>
      <c r="G85" s="28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</row>
    <row r="86" spans="1:230" x14ac:dyDescent="0.3">
      <c r="A86" s="15"/>
      <c r="B86" s="15"/>
      <c r="C86" s="16"/>
      <c r="D86" s="28"/>
      <c r="E86" s="15"/>
      <c r="F86" s="15"/>
      <c r="G86" s="28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</row>
    <row r="87" spans="1:230" x14ac:dyDescent="0.3">
      <c r="A87" s="15"/>
      <c r="B87" s="15"/>
      <c r="C87" s="16"/>
      <c r="D87" s="28"/>
      <c r="E87" s="15"/>
      <c r="F87" s="15"/>
      <c r="G87" s="28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</row>
    <row r="88" spans="1:230" x14ac:dyDescent="0.3">
      <c r="C88" s="16"/>
    </row>
    <row r="89" spans="1:230" x14ac:dyDescent="0.3">
      <c r="C89" s="16"/>
    </row>
    <row r="90" spans="1:230" x14ac:dyDescent="0.3">
      <c r="C90" s="16"/>
    </row>
    <row r="91" spans="1:230" x14ac:dyDescent="0.3">
      <c r="C91" s="16"/>
    </row>
    <row r="92" spans="1:230" x14ac:dyDescent="0.3">
      <c r="C92" s="16"/>
    </row>
    <row r="93" spans="1:230" x14ac:dyDescent="0.3">
      <c r="C93" s="16"/>
    </row>
    <row r="94" spans="1:230" x14ac:dyDescent="0.3">
      <c r="C94" s="16"/>
    </row>
    <row r="95" spans="1:230" x14ac:dyDescent="0.3">
      <c r="C95" s="16"/>
    </row>
    <row r="96" spans="1:230" x14ac:dyDescent="0.3">
      <c r="C96" s="16"/>
    </row>
    <row r="97" spans="3:3" x14ac:dyDescent="0.3">
      <c r="C97" s="16"/>
    </row>
    <row r="98" spans="3:3" x14ac:dyDescent="0.3">
      <c r="C98" s="16"/>
    </row>
    <row r="99" spans="3:3" x14ac:dyDescent="0.3">
      <c r="C99" s="16"/>
    </row>
    <row r="100" spans="3:3" x14ac:dyDescent="0.3">
      <c r="C100" s="16"/>
    </row>
    <row r="101" spans="3:3" x14ac:dyDescent="0.3">
      <c r="C101" s="16"/>
    </row>
    <row r="102" spans="3:3" x14ac:dyDescent="0.3">
      <c r="C102" s="16"/>
    </row>
    <row r="103" spans="3:3" x14ac:dyDescent="0.3">
      <c r="C103" s="17"/>
    </row>
    <row r="104" spans="3:3" x14ac:dyDescent="0.3">
      <c r="C104" s="17"/>
    </row>
    <row r="105" spans="3:3" x14ac:dyDescent="0.3">
      <c r="C105" s="17"/>
    </row>
    <row r="106" spans="3:3" x14ac:dyDescent="0.3">
      <c r="C106" s="17"/>
    </row>
    <row r="107" spans="3:3" x14ac:dyDescent="0.3">
      <c r="C107" s="17"/>
    </row>
    <row r="108" spans="3:3" x14ac:dyDescent="0.3">
      <c r="C108" s="17"/>
    </row>
    <row r="109" spans="3:3" x14ac:dyDescent="0.3">
      <c r="C109" s="17"/>
    </row>
    <row r="110" spans="3:3" x14ac:dyDescent="0.3">
      <c r="C110" s="17"/>
    </row>
    <row r="111" spans="3:3" x14ac:dyDescent="0.3">
      <c r="C111" s="17"/>
    </row>
    <row r="112" spans="3:3" x14ac:dyDescent="0.3">
      <c r="C112" s="17"/>
    </row>
    <row r="113" spans="3:3" x14ac:dyDescent="0.3">
      <c r="C113" s="17"/>
    </row>
    <row r="114" spans="3:3" x14ac:dyDescent="0.3">
      <c r="C114" s="17"/>
    </row>
    <row r="115" spans="3:3" x14ac:dyDescent="0.3">
      <c r="C115" s="17"/>
    </row>
    <row r="116" spans="3:3" x14ac:dyDescent="0.3">
      <c r="C116" s="17"/>
    </row>
    <row r="117" spans="3:3" x14ac:dyDescent="0.3">
      <c r="C117" s="17"/>
    </row>
    <row r="118" spans="3:3" x14ac:dyDescent="0.3">
      <c r="C118" s="17"/>
    </row>
    <row r="119" spans="3:3" x14ac:dyDescent="0.3">
      <c r="C119" s="17"/>
    </row>
    <row r="120" spans="3:3" x14ac:dyDescent="0.3">
      <c r="C120" s="17"/>
    </row>
    <row r="121" spans="3:3" x14ac:dyDescent="0.3">
      <c r="C121" s="17"/>
    </row>
    <row r="122" spans="3:3" x14ac:dyDescent="0.3">
      <c r="C122" s="17"/>
    </row>
    <row r="123" spans="3:3" x14ac:dyDescent="0.3">
      <c r="C123" s="17"/>
    </row>
    <row r="124" spans="3:3" x14ac:dyDescent="0.3">
      <c r="C124" s="17"/>
    </row>
    <row r="125" spans="3:3" x14ac:dyDescent="0.3">
      <c r="C125" s="17"/>
    </row>
    <row r="126" spans="3:3" x14ac:dyDescent="0.3">
      <c r="C126" s="17"/>
    </row>
    <row r="127" spans="3:3" x14ac:dyDescent="0.3">
      <c r="C127" s="17"/>
    </row>
    <row r="128" spans="3:3" x14ac:dyDescent="0.3">
      <c r="C128" s="17"/>
    </row>
    <row r="129" spans="3:3" x14ac:dyDescent="0.3">
      <c r="C129" s="17"/>
    </row>
    <row r="130" spans="3:3" x14ac:dyDescent="0.3">
      <c r="C130" s="17"/>
    </row>
    <row r="131" spans="3:3" x14ac:dyDescent="0.3">
      <c r="C131" s="15"/>
    </row>
    <row r="132" spans="3:3" x14ac:dyDescent="0.3">
      <c r="C132" s="15"/>
    </row>
    <row r="133" spans="3:3" x14ac:dyDescent="0.3">
      <c r="C133" s="15"/>
    </row>
    <row r="134" spans="3:3" x14ac:dyDescent="0.3">
      <c r="C134" s="15"/>
    </row>
    <row r="135" spans="3:3" x14ac:dyDescent="0.3">
      <c r="C135" s="15"/>
    </row>
    <row r="136" spans="3:3" x14ac:dyDescent="0.3">
      <c r="C136" s="15"/>
    </row>
    <row r="137" spans="3:3" x14ac:dyDescent="0.3">
      <c r="C137" s="15"/>
    </row>
    <row r="138" spans="3:3" x14ac:dyDescent="0.3">
      <c r="C138" s="15"/>
    </row>
    <row r="139" spans="3:3" x14ac:dyDescent="0.3">
      <c r="C139" s="15"/>
    </row>
    <row r="140" spans="3:3" x14ac:dyDescent="0.3">
      <c r="C140" s="15"/>
    </row>
    <row r="141" spans="3:3" x14ac:dyDescent="0.3">
      <c r="C141" s="15"/>
    </row>
    <row r="142" spans="3:3" x14ac:dyDescent="0.3">
      <c r="C142" s="15"/>
    </row>
    <row r="143" spans="3:3" x14ac:dyDescent="0.3">
      <c r="C143" s="15"/>
    </row>
    <row r="144" spans="3:3" x14ac:dyDescent="0.3">
      <c r="C144" s="15"/>
    </row>
    <row r="145" spans="3:3" x14ac:dyDescent="0.3">
      <c r="C145" s="15"/>
    </row>
    <row r="146" spans="3:3" x14ac:dyDescent="0.3">
      <c r="C146" s="15"/>
    </row>
    <row r="147" spans="3:3" x14ac:dyDescent="0.3">
      <c r="C147" s="15"/>
    </row>
    <row r="148" spans="3:3" x14ac:dyDescent="0.3">
      <c r="C148" s="15"/>
    </row>
    <row r="149" spans="3:3" x14ac:dyDescent="0.3">
      <c r="C149" s="15"/>
    </row>
    <row r="150" spans="3:3" x14ac:dyDescent="0.3">
      <c r="C150" s="15"/>
    </row>
    <row r="151" spans="3:3" x14ac:dyDescent="0.3">
      <c r="C151" s="15"/>
    </row>
    <row r="152" spans="3:3" x14ac:dyDescent="0.3">
      <c r="C152" s="15"/>
    </row>
    <row r="153" spans="3:3" x14ac:dyDescent="0.3">
      <c r="C153" s="15"/>
    </row>
    <row r="154" spans="3:3" x14ac:dyDescent="0.3">
      <c r="C154" s="15"/>
    </row>
    <row r="155" spans="3:3" x14ac:dyDescent="0.3">
      <c r="C155" s="15"/>
    </row>
    <row r="156" spans="3:3" x14ac:dyDescent="0.3">
      <c r="C156" s="15"/>
    </row>
    <row r="157" spans="3:3" x14ac:dyDescent="0.3">
      <c r="C157" s="15"/>
    </row>
    <row r="158" spans="3:3" x14ac:dyDescent="0.3">
      <c r="C158" s="15"/>
    </row>
  </sheetData>
  <mergeCells count="37">
    <mergeCell ref="HA6:HV6"/>
    <mergeCell ref="B9:B11"/>
    <mergeCell ref="DB6:DX6"/>
    <mergeCell ref="DY6:ER6"/>
    <mergeCell ref="ES6:FN6"/>
    <mergeCell ref="FO6:GF6"/>
    <mergeCell ref="GG6:GZ6"/>
    <mergeCell ref="CH6:DA6"/>
    <mergeCell ref="I2:K4"/>
    <mergeCell ref="L2:V4"/>
    <mergeCell ref="Z6:AS6"/>
    <mergeCell ref="AT6:BO6"/>
    <mergeCell ref="BP6:CG6"/>
    <mergeCell ref="A1:V1"/>
    <mergeCell ref="A6:A8"/>
    <mergeCell ref="B6:B8"/>
    <mergeCell ref="C6:C8"/>
    <mergeCell ref="D6:D8"/>
    <mergeCell ref="E6:E8"/>
    <mergeCell ref="F6:F8"/>
    <mergeCell ref="G6:G8"/>
    <mergeCell ref="H6:H8"/>
    <mergeCell ref="I6:Y6"/>
    <mergeCell ref="A2:B2"/>
    <mergeCell ref="A3:B3"/>
    <mergeCell ref="A4:B4"/>
    <mergeCell ref="C2:H2"/>
    <mergeCell ref="C3:H3"/>
    <mergeCell ref="C4:H4"/>
    <mergeCell ref="A5:B5"/>
    <mergeCell ref="L5:M5"/>
    <mergeCell ref="B44:B47"/>
    <mergeCell ref="B12:B13"/>
    <mergeCell ref="B14:B26"/>
    <mergeCell ref="B27:B28"/>
    <mergeCell ref="B29:B43"/>
    <mergeCell ref="G5:H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5"/>
  <sheetViews>
    <sheetView workbookViewId="0">
      <selection activeCell="N5" sqref="N5:N35"/>
    </sheetView>
  </sheetViews>
  <sheetFormatPr defaultRowHeight="16.5" x14ac:dyDescent="0.3"/>
  <cols>
    <col min="2" max="2" width="11.125" bestFit="1" customWidth="1"/>
    <col min="3" max="3" width="13.625" bestFit="1" customWidth="1"/>
  </cols>
  <sheetData>
    <row r="2" spans="2:14" x14ac:dyDescent="0.3">
      <c r="B2" s="4" t="s">
        <v>11</v>
      </c>
      <c r="C2" s="4" t="s">
        <v>12</v>
      </c>
    </row>
    <row r="3" spans="2:14" x14ac:dyDescent="0.3">
      <c r="B3" s="5">
        <v>45658</v>
      </c>
      <c r="C3" s="3" t="s">
        <v>13</v>
      </c>
    </row>
    <row r="4" spans="2:14" x14ac:dyDescent="0.3">
      <c r="B4" s="5">
        <v>45685</v>
      </c>
      <c r="C4" s="3" t="s">
        <v>14</v>
      </c>
    </row>
    <row r="5" spans="2:14" x14ac:dyDescent="0.3">
      <c r="B5" s="5">
        <v>45686</v>
      </c>
      <c r="C5" s="3" t="s">
        <v>15</v>
      </c>
      <c r="N5" s="16" t="s">
        <v>34</v>
      </c>
    </row>
    <row r="6" spans="2:14" x14ac:dyDescent="0.3">
      <c r="B6" s="5">
        <v>45687</v>
      </c>
      <c r="C6" s="3" t="s">
        <v>15</v>
      </c>
      <c r="N6" s="16" t="s">
        <v>34</v>
      </c>
    </row>
    <row r="7" spans="2:14" x14ac:dyDescent="0.3">
      <c r="B7" s="5">
        <v>45717</v>
      </c>
      <c r="C7" s="3" t="s">
        <v>16</v>
      </c>
      <c r="N7" s="16" t="s">
        <v>34</v>
      </c>
    </row>
    <row r="8" spans="2:14" x14ac:dyDescent="0.3">
      <c r="B8" s="5">
        <v>45719</v>
      </c>
      <c r="C8" s="3" t="s">
        <v>17</v>
      </c>
      <c r="N8" s="16" t="s">
        <v>34</v>
      </c>
    </row>
    <row r="9" spans="2:14" x14ac:dyDescent="0.3">
      <c r="B9" s="5">
        <v>45778</v>
      </c>
      <c r="C9" s="3" t="s">
        <v>18</v>
      </c>
      <c r="N9" s="16" t="s">
        <v>34</v>
      </c>
    </row>
    <row r="10" spans="2:14" x14ac:dyDescent="0.3">
      <c r="B10" s="5">
        <v>45779</v>
      </c>
      <c r="C10" s="3" t="s">
        <v>19</v>
      </c>
      <c r="N10" s="16" t="s">
        <v>34</v>
      </c>
    </row>
    <row r="11" spans="2:14" x14ac:dyDescent="0.3">
      <c r="B11" s="5">
        <v>45782</v>
      </c>
      <c r="C11" s="3" t="s">
        <v>20</v>
      </c>
      <c r="N11" s="16" t="s">
        <v>34</v>
      </c>
    </row>
    <row r="12" spans="2:14" x14ac:dyDescent="0.3">
      <c r="B12" s="5">
        <v>45783</v>
      </c>
      <c r="C12" s="3" t="s">
        <v>21</v>
      </c>
      <c r="N12" s="16" t="s">
        <v>34</v>
      </c>
    </row>
    <row r="13" spans="2:14" x14ac:dyDescent="0.3">
      <c r="B13" s="5">
        <v>45814</v>
      </c>
      <c r="C13" s="3" t="s">
        <v>22</v>
      </c>
      <c r="N13" s="16" t="s">
        <v>34</v>
      </c>
    </row>
    <row r="14" spans="2:14" x14ac:dyDescent="0.3">
      <c r="B14" s="5">
        <v>45884</v>
      </c>
      <c r="C14" s="3" t="s">
        <v>23</v>
      </c>
      <c r="N14" s="16" t="s">
        <v>42</v>
      </c>
    </row>
    <row r="15" spans="2:14" x14ac:dyDescent="0.3">
      <c r="B15" s="5">
        <v>45936</v>
      </c>
      <c r="C15" s="3" t="s">
        <v>14</v>
      </c>
      <c r="N15" s="16" t="s">
        <v>42</v>
      </c>
    </row>
    <row r="16" spans="2:14" x14ac:dyDescent="0.3">
      <c r="B16" s="5">
        <v>45937</v>
      </c>
      <c r="C16" s="3" t="s">
        <v>24</v>
      </c>
      <c r="N16" s="16" t="s">
        <v>42</v>
      </c>
    </row>
    <row r="17" spans="2:14" x14ac:dyDescent="0.3">
      <c r="B17" s="5">
        <v>45938</v>
      </c>
      <c r="C17" s="3" t="s">
        <v>25</v>
      </c>
      <c r="N17" s="16" t="s">
        <v>43</v>
      </c>
    </row>
    <row r="18" spans="2:14" x14ac:dyDescent="0.3">
      <c r="B18" s="5">
        <v>45933</v>
      </c>
      <c r="C18" s="3" t="s">
        <v>26</v>
      </c>
      <c r="N18" s="16" t="s">
        <v>34</v>
      </c>
    </row>
    <row r="19" spans="2:14" x14ac:dyDescent="0.3">
      <c r="B19" s="5">
        <v>45939</v>
      </c>
      <c r="C19" s="3" t="s">
        <v>27</v>
      </c>
      <c r="N19" s="16" t="s">
        <v>34</v>
      </c>
    </row>
    <row r="20" spans="2:14" x14ac:dyDescent="0.3">
      <c r="B20" s="5">
        <v>46016</v>
      </c>
      <c r="C20" s="3" t="s">
        <v>28</v>
      </c>
      <c r="N20" s="16" t="s">
        <v>34</v>
      </c>
    </row>
    <row r="21" spans="2:14" x14ac:dyDescent="0.3">
      <c r="B21" s="5">
        <v>46023</v>
      </c>
      <c r="C21" s="3" t="s">
        <v>13</v>
      </c>
      <c r="N21" s="16" t="s">
        <v>34</v>
      </c>
    </row>
    <row r="22" spans="2:14" x14ac:dyDescent="0.3">
      <c r="B22" s="5">
        <v>46069</v>
      </c>
      <c r="C22" s="3" t="s">
        <v>14</v>
      </c>
      <c r="N22" s="16" t="s">
        <v>43</v>
      </c>
    </row>
    <row r="23" spans="2:14" x14ac:dyDescent="0.3">
      <c r="B23" s="5">
        <v>46070</v>
      </c>
      <c r="C23" s="3" t="s">
        <v>29</v>
      </c>
      <c r="N23" s="16" t="s">
        <v>43</v>
      </c>
    </row>
    <row r="24" spans="2:14" x14ac:dyDescent="0.3">
      <c r="B24" s="5">
        <v>46071</v>
      </c>
      <c r="C24" s="3" t="s">
        <v>29</v>
      </c>
      <c r="N24" s="16" t="s">
        <v>34</v>
      </c>
    </row>
    <row r="25" spans="2:14" x14ac:dyDescent="0.3">
      <c r="B25" s="5">
        <v>46083</v>
      </c>
      <c r="C25" s="3" t="s">
        <v>30</v>
      </c>
      <c r="N25" s="16" t="s">
        <v>34</v>
      </c>
    </row>
    <row r="26" spans="2:14" x14ac:dyDescent="0.3">
      <c r="N26" s="16" t="s">
        <v>34</v>
      </c>
    </row>
    <row r="27" spans="2:14" x14ac:dyDescent="0.3">
      <c r="N27" s="16" t="s">
        <v>34</v>
      </c>
    </row>
    <row r="28" spans="2:14" x14ac:dyDescent="0.3">
      <c r="N28" s="16" t="s">
        <v>34</v>
      </c>
    </row>
    <row r="29" spans="2:14" x14ac:dyDescent="0.3">
      <c r="N29" s="16" t="s">
        <v>34</v>
      </c>
    </row>
    <row r="30" spans="2:14" x14ac:dyDescent="0.3">
      <c r="N30" s="16" t="s">
        <v>34</v>
      </c>
    </row>
    <row r="31" spans="2:14" x14ac:dyDescent="0.3">
      <c r="N31" s="16" t="s">
        <v>49</v>
      </c>
    </row>
    <row r="32" spans="2:14" x14ac:dyDescent="0.3">
      <c r="N32" s="16" t="s">
        <v>49</v>
      </c>
    </row>
    <row r="33" spans="14:14" x14ac:dyDescent="0.3">
      <c r="N33" s="16" t="s">
        <v>49</v>
      </c>
    </row>
    <row r="34" spans="14:14" x14ac:dyDescent="0.3">
      <c r="N34" s="16" t="s">
        <v>34</v>
      </c>
    </row>
    <row r="35" spans="14:14" x14ac:dyDescent="0.3">
      <c r="N35" s="16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dw-001</cp:lastModifiedBy>
  <dcterms:created xsi:type="dcterms:W3CDTF">2025-02-06T06:14:57Z</dcterms:created>
  <dcterms:modified xsi:type="dcterms:W3CDTF">2025-11-20T03:29:23Z</dcterms:modified>
</cp:coreProperties>
</file>