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5. DB설계\통합 버전 관리\"/>
    </mc:Choice>
  </mc:AlternateContent>
  <bookViews>
    <workbookView xWindow="0" yWindow="0" windowWidth="28800" windowHeight="12285" tabRatio="500" activeTab="1"/>
  </bookViews>
  <sheets>
    <sheet name="테이블 목록" sheetId="1" r:id="rId1"/>
    <sheet name="테이블" sheetId="2" r:id="rId2"/>
    <sheet name="컬럼 해석" sheetId="3" r:id="rId3"/>
    <sheet name="샘플 데이터" sheetId="4" r:id="rId4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" i="4" l="1"/>
  <c r="D23" i="4"/>
  <c r="J18" i="4"/>
  <c r="J17" i="4"/>
  <c r="J16" i="4"/>
  <c r="J15" i="4"/>
  <c r="J14" i="4"/>
  <c r="J13" i="4"/>
  <c r="J12" i="4"/>
  <c r="J11" i="4"/>
  <c r="J10" i="4"/>
  <c r="J9" i="4"/>
</calcChain>
</file>

<file path=xl/comments1.xml><?xml version="1.0" encoding="utf-8"?>
<comments xmlns="http://schemas.openxmlformats.org/spreadsheetml/2006/main">
  <authors>
    <author>DW-203</author>
    <author>DNGRYL</author>
  </authors>
  <commentList>
    <comment ref="H5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>사용자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관리자</t>
        </r>
      </text>
    </comment>
    <comment ref="I5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>휴면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탈퇴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활성</t>
        </r>
      </text>
    </comment>
    <comment ref="E13" authorId="1" shapeId="0">
      <text>
        <r>
          <rPr>
            <sz val="10"/>
            <rFont val="Arial"/>
            <family val="2"/>
          </rPr>
          <t xml:space="preserve">DNGRYL:
</t>
        </r>
        <r>
          <rPr>
            <sz val="9"/>
            <color rgb="FF000000"/>
            <rFont val="Tahoma"/>
            <family val="2"/>
            <charset val="1"/>
          </rPr>
          <t xml:space="preserve">
</t>
        </r>
        <r>
          <rPr>
            <sz val="9"/>
            <color rgb="FF000000"/>
            <rFont val="DejaVu Sans"/>
            <family val="2"/>
          </rPr>
          <t xml:space="preserve">개 </t>
        </r>
        <r>
          <rPr>
            <sz val="9"/>
            <color rgb="FF000000"/>
            <rFont val="Tahoma"/>
            <family val="2"/>
            <charset val="1"/>
          </rPr>
          <t xml:space="preserve">/ </t>
        </r>
        <r>
          <rPr>
            <sz val="9"/>
            <color rgb="FF000000"/>
            <rFont val="DejaVu Sans"/>
            <family val="2"/>
          </rPr>
          <t xml:space="preserve">고양이
견종은 종류가 </t>
        </r>
        <r>
          <rPr>
            <sz val="9"/>
            <color rgb="FF000000"/>
            <rFont val="Tahoma"/>
            <family val="2"/>
            <charset val="1"/>
          </rPr>
          <t>3~4</t>
        </r>
        <r>
          <rPr>
            <sz val="9"/>
            <color rgb="FF000000"/>
            <rFont val="DejaVu Sans"/>
            <family val="2"/>
          </rPr>
          <t xml:space="preserve">개라 가능한 </t>
        </r>
        <r>
          <rPr>
            <sz val="9"/>
            <color rgb="FF000000"/>
            <rFont val="Tahoma"/>
            <family val="2"/>
            <charset val="1"/>
          </rPr>
          <t>ENUM</t>
        </r>
        <r>
          <rPr>
            <sz val="9"/>
            <color rgb="FF000000"/>
            <rFont val="DejaVu Sans"/>
            <family val="2"/>
          </rPr>
          <t xml:space="preserve">이 안전 굳이 </t>
        </r>
        <r>
          <rPr>
            <sz val="9"/>
            <color rgb="FF000000"/>
            <rFont val="Tahoma"/>
            <family val="2"/>
            <charset val="1"/>
          </rPr>
          <t>varchar</t>
        </r>
        <r>
          <rPr>
            <sz val="9"/>
            <color rgb="FF000000"/>
            <rFont val="DejaVu Sans"/>
            <family val="2"/>
          </rPr>
          <t xml:space="preserve">안해도 됨
품종은 종류가 수백종이상이라 </t>
        </r>
        <r>
          <rPr>
            <sz val="9"/>
            <color rgb="FF000000"/>
            <rFont val="Tahoma"/>
            <family val="2"/>
            <charset val="1"/>
          </rPr>
          <t>varchar</t>
        </r>
      </text>
    </comment>
    <comment ref="G21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>수컷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암컷</t>
        </r>
      </text>
    </comment>
    <comment ref="E30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>홈캠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음수기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급여기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웨어러블</t>
        </r>
      </text>
    </comment>
    <comment ref="F79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 xml:space="preserve">자동 </t>
        </r>
        <r>
          <rPr>
            <sz val="9"/>
            <color rgb="FF000000"/>
            <rFont val="Tahoma"/>
            <family val="2"/>
            <charset val="1"/>
          </rPr>
          <t xml:space="preserve">/ </t>
        </r>
        <r>
          <rPr>
            <sz val="9"/>
            <color rgb="FF000000"/>
            <rFont val="DejaVu Sans"/>
            <family val="2"/>
          </rPr>
          <t>수동</t>
        </r>
      </text>
    </comment>
    <comment ref="G79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>급여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 xml:space="preserve">비급여
</t>
        </r>
      </text>
    </comment>
    <comment ref="E87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>달리기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하품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기지개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수면 등</t>
        </r>
      </text>
    </comment>
    <comment ref="F95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>홈캠 앞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거실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방</t>
        </r>
        <r>
          <rPr>
            <sz val="9"/>
            <color rgb="FF000000"/>
            <rFont val="Tahoma"/>
            <family val="2"/>
            <charset val="1"/>
          </rPr>
          <t xml:space="preserve">1, </t>
        </r>
        <r>
          <rPr>
            <sz val="9"/>
            <color rgb="FF000000"/>
            <rFont val="DejaVu Sans"/>
            <family val="2"/>
          </rPr>
          <t>방</t>
        </r>
        <r>
          <rPr>
            <sz val="9"/>
            <color rgb="FF000000"/>
            <rFont val="Tahoma"/>
            <family val="2"/>
            <charset val="1"/>
          </rPr>
          <t xml:space="preserve">2 </t>
        </r>
        <r>
          <rPr>
            <sz val="9"/>
            <color rgb="FF000000"/>
            <rFont val="DejaVu Sans"/>
            <family val="2"/>
          </rPr>
          <t>등</t>
        </r>
      </text>
    </comment>
    <comment ref="H103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Tahoma"/>
            <family val="2"/>
            <charset val="1"/>
          </rPr>
          <t>none, nomal, abnomal</t>
        </r>
      </text>
    </comment>
    <comment ref="H112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>수면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비수면</t>
        </r>
      </text>
    </comment>
    <comment ref="K112" authorId="0" shapeId="0">
      <text>
        <r>
          <rPr>
            <b/>
            <sz val="9"/>
            <color indexed="81"/>
            <rFont val="Tahoma"/>
            <family val="2"/>
          </rPr>
          <t>DW-203:
NORMAL/NONE/ABNORMAL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홈캠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앞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거실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1,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M112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달리기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하품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기지개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G130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점수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하락의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원인이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</text>
    </comment>
    <comment ref="H130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식사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누락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H131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11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조치종류</t>
        </r>
      </text>
    </comment>
    <comment ref="E140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>예</t>
        </r>
        <r>
          <rPr>
            <sz val="9"/>
            <color rgb="FF000000"/>
            <rFont val="Tahoma"/>
            <family val="2"/>
            <charset val="1"/>
          </rPr>
          <t xml:space="preserve">: </t>
        </r>
        <r>
          <rPr>
            <sz val="9"/>
            <color rgb="FF000000"/>
            <rFont val="DejaVu Sans"/>
            <family val="2"/>
          </rPr>
          <t xml:space="preserve">위험행동 감지 </t>
        </r>
        <r>
          <rPr>
            <sz val="9"/>
            <color rgb="FF000000"/>
            <rFont val="Tahoma"/>
            <family val="2"/>
            <charset val="1"/>
          </rPr>
          <t xml:space="preserve">+15, </t>
        </r>
        <r>
          <rPr>
            <sz val="9"/>
            <color rgb="FF000000"/>
            <rFont val="DejaVu Sans"/>
            <family val="2"/>
          </rPr>
          <t xml:space="preserve">사용자 조치에 따른 </t>
        </r>
        <r>
          <rPr>
            <sz val="9"/>
            <color rgb="FF000000"/>
            <rFont val="Tahoma"/>
            <family val="2"/>
            <charset val="1"/>
          </rPr>
          <t>-10</t>
        </r>
      </text>
    </comment>
    <comment ref="F140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점수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상승의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원인이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</t>
        </r>
        <r>
          <rPr>
            <sz val="9"/>
            <color indexed="81"/>
            <rFont val="Tahoma"/>
            <family val="2"/>
          </rPr>
          <t xml:space="preserve"> id(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매핑</t>
        </r>
        <r>
          <rPr>
            <sz val="9"/>
            <color indexed="81"/>
            <rFont val="Tahoma"/>
            <family val="2"/>
          </rPr>
          <t>)</t>
        </r>
      </text>
    </comment>
    <comment ref="E141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Tahoma"/>
            <family val="2"/>
            <charset val="1"/>
          </rPr>
          <t>NORMAL, CAUTION, WARNING, DANGER</t>
        </r>
      </text>
    </comment>
    <comment ref="F141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Tahoma"/>
            <family val="2"/>
            <charset val="1"/>
          </rPr>
          <t>HIGHLIGHT, HEALTH_RISK, PROXIMITY</t>
        </r>
      </text>
    </comment>
    <comment ref="G141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Tahoma"/>
            <family val="2"/>
            <charset val="1"/>
          </rPr>
          <t>POPUP, PUSH</t>
        </r>
      </text>
    </comment>
    <comment ref="F150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>대시버드 버튼</t>
        </r>
      </text>
    </comment>
    <comment ref="G150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 xml:space="preserve">수동 </t>
        </r>
        <r>
          <rPr>
            <sz val="9"/>
            <color rgb="FF000000"/>
            <rFont val="Tahoma"/>
            <family val="2"/>
            <charset val="1"/>
          </rPr>
          <t xml:space="preserve">/ </t>
        </r>
        <r>
          <rPr>
            <sz val="9"/>
            <color rgb="FF000000"/>
            <rFont val="DejaVu Sans"/>
            <family val="2"/>
          </rPr>
          <t>자동</t>
        </r>
      </text>
    </comment>
    <comment ref="H150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 xml:space="preserve">성공 </t>
        </r>
        <r>
          <rPr>
            <sz val="9"/>
            <color rgb="FF000000"/>
            <rFont val="Tahoma"/>
            <family val="2"/>
            <charset val="1"/>
          </rPr>
          <t xml:space="preserve">/ </t>
        </r>
        <r>
          <rPr>
            <sz val="9"/>
            <color rgb="FF000000"/>
            <rFont val="DejaVu Sans"/>
            <family val="2"/>
          </rPr>
          <t>실패</t>
        </r>
      </text>
    </comment>
    <comment ref="K150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 xml:space="preserve">성공 </t>
        </r>
        <r>
          <rPr>
            <sz val="9"/>
            <color rgb="FF000000"/>
            <rFont val="Tahoma"/>
            <family val="2"/>
            <charset val="1"/>
          </rPr>
          <t xml:space="preserve">/ </t>
        </r>
        <r>
          <rPr>
            <sz val="9"/>
            <color rgb="FF000000"/>
            <rFont val="DejaVu Sans"/>
            <family val="2"/>
          </rPr>
          <t>실패</t>
        </r>
      </text>
    </comment>
    <comment ref="E158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 xml:space="preserve">이미지 </t>
        </r>
        <r>
          <rPr>
            <sz val="9"/>
            <color rgb="FF000000"/>
            <rFont val="Tahoma"/>
            <family val="2"/>
            <charset val="1"/>
          </rPr>
          <t xml:space="preserve">/ </t>
        </r>
        <r>
          <rPr>
            <sz val="9"/>
            <color rgb="FF000000"/>
            <rFont val="DejaVu Sans"/>
            <family val="2"/>
          </rPr>
          <t>영상</t>
        </r>
      </text>
    </comment>
    <comment ref="C173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Tahoma"/>
            <family val="2"/>
            <charset val="1"/>
          </rPr>
          <t>behavior_name</t>
        </r>
        <r>
          <rPr>
            <sz val="9"/>
            <color rgb="FF000000"/>
            <rFont val="DejaVu Sans"/>
            <family val="2"/>
          </rPr>
          <t>과 병합</t>
        </r>
      </text>
    </comment>
    <comment ref="C182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Tahoma"/>
            <family val="2"/>
            <charset val="1"/>
          </rPr>
          <t xml:space="preserve">1. </t>
        </r>
        <r>
          <rPr>
            <sz val="9"/>
            <color rgb="FF000000"/>
            <rFont val="DejaVu Sans"/>
            <family val="2"/>
          </rPr>
          <t xml:space="preserve">와다다
</t>
        </r>
        <r>
          <rPr>
            <sz val="9"/>
            <color rgb="FF000000"/>
            <rFont val="Tahoma"/>
            <family val="2"/>
            <charset val="1"/>
          </rPr>
          <t xml:space="preserve">2. </t>
        </r>
        <r>
          <rPr>
            <sz val="9"/>
            <color rgb="FF000000"/>
            <rFont val="DejaVu Sans"/>
            <family val="2"/>
          </rPr>
          <t xml:space="preserve">하품
</t>
        </r>
        <r>
          <rPr>
            <sz val="9"/>
            <color rgb="FF000000"/>
            <rFont val="Tahoma"/>
            <family val="2"/>
            <charset val="1"/>
          </rPr>
          <t xml:space="preserve">3. </t>
        </r>
        <r>
          <rPr>
            <sz val="9"/>
            <color rgb="FF000000"/>
            <rFont val="DejaVu Sans"/>
            <family val="2"/>
          </rPr>
          <t xml:space="preserve">기지개
</t>
        </r>
        <r>
          <rPr>
            <sz val="9"/>
            <color rgb="FF000000"/>
            <rFont val="Tahoma"/>
            <family val="2"/>
            <charset val="1"/>
          </rPr>
          <t xml:space="preserve">4. </t>
        </r>
        <r>
          <rPr>
            <sz val="9"/>
            <color rgb="FF000000"/>
            <rFont val="DejaVu Sans"/>
            <family val="2"/>
          </rPr>
          <t xml:space="preserve">심박수 이상
</t>
        </r>
        <r>
          <rPr>
            <sz val="9"/>
            <color rgb="FF000000"/>
            <rFont val="Tahoma"/>
            <family val="2"/>
            <charset val="1"/>
          </rPr>
          <t xml:space="preserve">5. </t>
        </r>
        <r>
          <rPr>
            <sz val="9"/>
            <color rgb="FF000000"/>
            <rFont val="DejaVu Sans"/>
            <family val="2"/>
          </rPr>
          <t xml:space="preserve">끼니 거름
</t>
        </r>
        <r>
          <rPr>
            <sz val="9"/>
            <color rgb="FF000000"/>
            <rFont val="Tahoma"/>
            <family val="2"/>
            <charset val="1"/>
          </rPr>
          <t xml:space="preserve">6. </t>
        </r>
        <r>
          <rPr>
            <sz val="9"/>
            <color rgb="FF000000"/>
            <rFont val="DejaVu Sans"/>
            <family val="2"/>
          </rPr>
          <t xml:space="preserve">음수량 감소
</t>
        </r>
        <r>
          <rPr>
            <sz val="9"/>
            <color rgb="FF000000"/>
            <rFont val="Tahoma"/>
            <family val="2"/>
            <charset val="1"/>
          </rPr>
          <t xml:space="preserve">7. </t>
        </r>
        <r>
          <rPr>
            <sz val="9"/>
            <color rgb="FF000000"/>
            <rFont val="DejaVu Sans"/>
            <family val="2"/>
          </rPr>
          <t xml:space="preserve">수면패턴 이상
</t>
        </r>
        <r>
          <rPr>
            <sz val="9"/>
            <color rgb="FF000000"/>
            <rFont val="Tahoma"/>
            <family val="2"/>
            <charset val="1"/>
          </rPr>
          <t xml:space="preserve">8. </t>
        </r>
        <r>
          <rPr>
            <sz val="9"/>
            <color rgb="FF000000"/>
            <rFont val="DejaVu Sans"/>
            <family val="2"/>
          </rPr>
          <t xml:space="preserve">과다짖음
</t>
        </r>
        <r>
          <rPr>
            <sz val="9"/>
            <color rgb="FF000000"/>
            <rFont val="Tahoma"/>
            <family val="2"/>
            <charset val="1"/>
          </rPr>
          <t xml:space="preserve">9. </t>
        </r>
        <r>
          <rPr>
            <sz val="9"/>
            <color rgb="FF000000"/>
            <rFont val="DejaVu Sans"/>
            <family val="2"/>
          </rPr>
          <t xml:space="preserve">스쿠팅
</t>
        </r>
        <r>
          <rPr>
            <sz val="9"/>
            <color rgb="FF000000"/>
            <rFont val="Tahoma"/>
            <family val="2"/>
            <charset val="1"/>
          </rPr>
          <t xml:space="preserve">10. </t>
        </r>
        <r>
          <rPr>
            <sz val="9"/>
            <color rgb="FF000000"/>
            <rFont val="DejaVu Sans"/>
            <family val="2"/>
          </rPr>
          <t xml:space="preserve">배변이상 의심
</t>
        </r>
        <r>
          <rPr>
            <sz val="9"/>
            <color rgb="FF000000"/>
            <rFont val="Tahoma"/>
            <family val="2"/>
            <charset val="1"/>
          </rPr>
          <t xml:space="preserve">11. </t>
        </r>
        <r>
          <rPr>
            <sz val="9"/>
            <color rgb="FF000000"/>
            <rFont val="DejaVu Sans"/>
            <family val="2"/>
          </rPr>
          <t>마킹</t>
        </r>
      </text>
    </comment>
    <comment ref="D182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 xml:space="preserve">하이라이트 </t>
        </r>
        <r>
          <rPr>
            <sz val="9"/>
            <color rgb="FF000000"/>
            <rFont val="Tahoma"/>
            <family val="2"/>
            <charset val="1"/>
          </rPr>
          <t xml:space="preserve">/ </t>
        </r>
        <r>
          <rPr>
            <sz val="9"/>
            <color rgb="FF000000"/>
            <rFont val="DejaVu Sans"/>
            <family val="2"/>
          </rPr>
          <t xml:space="preserve">건강이상 </t>
        </r>
        <r>
          <rPr>
            <sz val="9"/>
            <color rgb="FF000000"/>
            <rFont val="Tahoma"/>
            <family val="2"/>
            <charset val="1"/>
          </rPr>
          <t xml:space="preserve">/ </t>
        </r>
        <r>
          <rPr>
            <sz val="9"/>
            <color rgb="FF000000"/>
            <rFont val="DejaVu Sans"/>
            <family val="2"/>
          </rPr>
          <t>배변이상</t>
        </r>
      </text>
    </comment>
  </commentList>
</comments>
</file>

<file path=xl/sharedStrings.xml><?xml version="1.0" encoding="utf-8"?>
<sst xmlns="http://schemas.openxmlformats.org/spreadsheetml/2006/main" count="951" uniqueCount="380">
  <si>
    <t>테이블 목록</t>
  </si>
  <si>
    <t>번호</t>
  </si>
  <si>
    <t>테이블명</t>
  </si>
  <si>
    <t>설명</t>
  </si>
  <si>
    <t>users</t>
  </si>
  <si>
    <r>
      <rPr>
        <sz val="12"/>
        <color rgb="FF000000"/>
        <rFont val="DejaVu Sans"/>
        <family val="2"/>
      </rPr>
      <t>사용자 계정 정보</t>
    </r>
    <r>
      <rPr>
        <sz val="12"/>
        <color rgb="FF000000"/>
        <rFont val="맑은 고딕"/>
        <family val="3"/>
        <charset val="129"/>
      </rPr>
      <t>(</t>
    </r>
    <r>
      <rPr>
        <sz val="12"/>
        <color rgb="FF000000"/>
        <rFont val="DejaVu Sans"/>
        <family val="2"/>
      </rPr>
      <t>로그인</t>
    </r>
    <r>
      <rPr>
        <sz val="12"/>
        <color rgb="FF000000"/>
        <rFont val="맑은 고딕"/>
        <family val="3"/>
        <charset val="129"/>
      </rPr>
      <t xml:space="preserve">, </t>
    </r>
    <r>
      <rPr>
        <sz val="12"/>
        <color rgb="FF000000"/>
        <rFont val="DejaVu Sans"/>
        <family val="2"/>
      </rPr>
      <t>인증</t>
    </r>
    <r>
      <rPr>
        <sz val="12"/>
        <color rgb="FF000000"/>
        <rFont val="맑은 고딕"/>
        <family val="3"/>
        <charset val="129"/>
      </rPr>
      <t xml:space="preserve">, </t>
    </r>
    <r>
      <rPr>
        <sz val="12"/>
        <color rgb="FF000000"/>
        <rFont val="DejaVu Sans"/>
        <family val="2"/>
      </rPr>
      <t>권한 등</t>
    </r>
    <r>
      <rPr>
        <sz val="12"/>
        <color rgb="FF000000"/>
        <rFont val="맑은 고딕"/>
        <family val="3"/>
        <charset val="129"/>
      </rPr>
      <t>)</t>
    </r>
    <r>
      <rPr>
        <sz val="12"/>
        <color rgb="FF000000"/>
        <rFont val="DejaVu Sans"/>
        <family val="2"/>
      </rPr>
      <t>를 관리</t>
    </r>
  </si>
  <si>
    <t>email_verification</t>
  </si>
  <si>
    <t>회원가입 이메일 인증번호 저장 및 최신 인증 요청 조회</t>
  </si>
  <si>
    <t>pets</t>
  </si>
  <si>
    <r>
      <rPr>
        <sz val="12"/>
        <color rgb="FF000000"/>
        <rFont val="DejaVu Sans"/>
        <family val="2"/>
      </rPr>
      <t>사용자가 등록한 반려동물 기본 정보</t>
    </r>
    <r>
      <rPr>
        <sz val="12"/>
        <color rgb="FF000000"/>
        <rFont val="맑은 고딕"/>
        <family val="3"/>
        <charset val="129"/>
      </rPr>
      <t>(</t>
    </r>
    <r>
      <rPr>
        <sz val="12"/>
        <color rgb="FF000000"/>
        <rFont val="DejaVu Sans"/>
        <family val="2"/>
      </rPr>
      <t>이름</t>
    </r>
    <r>
      <rPr>
        <sz val="12"/>
        <color rgb="FF000000"/>
        <rFont val="맑은 고딕"/>
        <family val="3"/>
        <charset val="129"/>
      </rPr>
      <t xml:space="preserve">, </t>
    </r>
    <r>
      <rPr>
        <sz val="12"/>
        <color rgb="FF000000"/>
        <rFont val="DejaVu Sans"/>
        <family val="2"/>
      </rPr>
      <t>종</t>
    </r>
    <r>
      <rPr>
        <sz val="12"/>
        <color rgb="FF000000"/>
        <rFont val="맑은 고딕"/>
        <family val="3"/>
        <charset val="129"/>
      </rPr>
      <t xml:space="preserve">, </t>
    </r>
    <r>
      <rPr>
        <sz val="12"/>
        <color rgb="FF000000"/>
        <rFont val="DejaVu Sans"/>
        <family val="2"/>
      </rPr>
      <t>나이 등</t>
    </r>
    <r>
      <rPr>
        <sz val="12"/>
        <color rgb="FF000000"/>
        <rFont val="맑은 고딕"/>
        <family val="3"/>
        <charset val="129"/>
      </rPr>
      <t>)</t>
    </r>
    <r>
      <rPr>
        <sz val="12"/>
        <color rgb="FF000000"/>
        <rFont val="DejaVu Sans"/>
        <family val="2"/>
      </rPr>
      <t>를 관리</t>
    </r>
  </si>
  <si>
    <t>pet_baseline_settings</t>
  </si>
  <si>
    <t>펫 건강관리 정보를 관리</t>
  </si>
  <si>
    <t>devices</t>
  </si>
  <si>
    <r>
      <rPr>
        <sz val="12"/>
        <color rgb="FF000000"/>
        <rFont val="DejaVu Sans"/>
        <family val="2"/>
      </rPr>
      <t>연동 기기</t>
    </r>
    <r>
      <rPr>
        <sz val="12"/>
        <color rgb="FF000000"/>
        <rFont val="맑은 고딕"/>
        <family val="3"/>
        <charset val="129"/>
      </rPr>
      <t>(</t>
    </r>
    <r>
      <rPr>
        <sz val="12"/>
        <color rgb="FF000000"/>
        <rFont val="DejaVu Sans"/>
        <family val="2"/>
      </rPr>
      <t>카메라</t>
    </r>
    <r>
      <rPr>
        <sz val="12"/>
        <color rgb="FF000000"/>
        <rFont val="맑은 고딕"/>
        <family val="3"/>
        <charset val="129"/>
      </rPr>
      <t>/</t>
    </r>
    <r>
      <rPr>
        <sz val="12"/>
        <color rgb="FF000000"/>
        <rFont val="DejaVu Sans"/>
        <family val="2"/>
      </rPr>
      <t>급여기</t>
    </r>
    <r>
      <rPr>
        <sz val="12"/>
        <color rgb="FF000000"/>
        <rFont val="맑은 고딕"/>
        <family val="3"/>
        <charset val="129"/>
      </rPr>
      <t>/</t>
    </r>
    <r>
      <rPr>
        <sz val="12"/>
        <color rgb="FF000000"/>
        <rFont val="DejaVu Sans"/>
        <family val="2"/>
      </rPr>
      <t>급수기</t>
    </r>
    <r>
      <rPr>
        <sz val="12"/>
        <color rgb="FF000000"/>
        <rFont val="맑은 고딕"/>
        <family val="3"/>
        <charset val="129"/>
      </rPr>
      <t>/</t>
    </r>
    <r>
      <rPr>
        <sz val="12"/>
        <color rgb="FF000000"/>
        <rFont val="DejaVu Sans"/>
        <family val="2"/>
      </rPr>
      <t>웨어러블 등</t>
    </r>
    <r>
      <rPr>
        <sz val="12"/>
        <color rgb="FF000000"/>
        <rFont val="맑은 고딕"/>
        <family val="3"/>
        <charset val="129"/>
      </rPr>
      <t xml:space="preserve">) </t>
    </r>
    <r>
      <rPr>
        <sz val="12"/>
        <color rgb="FF000000"/>
        <rFont val="DejaVu Sans"/>
        <family val="2"/>
      </rPr>
      <t>기본 정보</t>
    </r>
  </si>
  <si>
    <t>pet_devices</t>
  </si>
  <si>
    <r>
      <rPr>
        <sz val="12"/>
        <color rgb="FF000000"/>
        <rFont val="DejaVu Sans"/>
        <family val="2"/>
      </rPr>
      <t xml:space="preserve">펫 디바이스 </t>
    </r>
    <r>
      <rPr>
        <sz val="12"/>
        <color rgb="FF000000"/>
        <rFont val="맑은 고딕"/>
        <family val="3"/>
        <charset val="129"/>
      </rPr>
      <t xml:space="preserve">N:N </t>
    </r>
    <r>
      <rPr>
        <sz val="12"/>
        <color rgb="FF000000"/>
        <rFont val="DejaVu Sans"/>
        <family val="2"/>
      </rPr>
      <t>중간테이블</t>
    </r>
  </si>
  <si>
    <t>user_notification_settings</t>
  </si>
  <si>
    <r>
      <rPr>
        <sz val="12"/>
        <color rgb="FF000000"/>
        <rFont val="DejaVu Sans"/>
        <family val="2"/>
      </rPr>
      <t xml:space="preserve">반려동물 기준 전체 알림 </t>
    </r>
    <r>
      <rPr>
        <sz val="12"/>
        <color rgb="FF000000"/>
        <rFont val="맑은 고딕"/>
        <family val="3"/>
        <charset val="129"/>
      </rPr>
      <t xml:space="preserve">ON/OFF </t>
    </r>
    <r>
      <rPr>
        <sz val="12"/>
        <color rgb="FF000000"/>
        <rFont val="DejaVu Sans"/>
        <family val="2"/>
      </rPr>
      <t>설정을 관리</t>
    </r>
  </si>
  <si>
    <t>event_threshold_settings</t>
  </si>
  <si>
    <r>
      <rPr>
        <sz val="12"/>
        <color rgb="FF000000"/>
        <rFont val="DejaVu Sans"/>
        <family val="2"/>
      </rPr>
      <t>이벤트 발생 기준</t>
    </r>
    <r>
      <rPr>
        <sz val="12"/>
        <color rgb="FF000000"/>
        <rFont val="맑은 고딕"/>
        <family val="3"/>
        <charset val="129"/>
      </rPr>
      <t>(</t>
    </r>
    <r>
      <rPr>
        <sz val="12"/>
        <color rgb="FF000000"/>
        <rFont val="DejaVu Sans"/>
        <family val="2"/>
      </rPr>
      <t>임계값</t>
    </r>
    <r>
      <rPr>
        <sz val="12"/>
        <color rgb="FF000000"/>
        <rFont val="맑은 고딕"/>
        <family val="3"/>
        <charset val="129"/>
      </rPr>
      <t xml:space="preserve">, </t>
    </r>
    <r>
      <rPr>
        <sz val="12"/>
        <color rgb="FF000000"/>
        <rFont val="DejaVu Sans"/>
        <family val="2"/>
      </rPr>
      <t>지속시간 등</t>
    </r>
    <r>
      <rPr>
        <sz val="12"/>
        <color rgb="FF000000"/>
        <rFont val="맑은 고딕"/>
        <family val="3"/>
        <charset val="129"/>
      </rPr>
      <t>)</t>
    </r>
    <r>
      <rPr>
        <sz val="12"/>
        <color rgb="FF000000"/>
        <rFont val="DejaVu Sans"/>
        <family val="2"/>
      </rPr>
      <t>을 설정</t>
    </r>
  </si>
  <si>
    <t>wearable_log</t>
  </si>
  <si>
    <r>
      <rPr>
        <sz val="12"/>
        <color rgb="FF000000"/>
        <rFont val="DejaVu Sans"/>
        <family val="2"/>
      </rPr>
      <t>심박</t>
    </r>
    <r>
      <rPr>
        <sz val="12"/>
        <color rgb="FF000000"/>
        <rFont val="맑은 고딕"/>
        <family val="3"/>
        <charset val="129"/>
      </rPr>
      <t>/</t>
    </r>
    <r>
      <rPr>
        <sz val="12"/>
        <color rgb="FF000000"/>
        <rFont val="DejaVu Sans"/>
        <family val="2"/>
      </rPr>
      <t>체온</t>
    </r>
    <r>
      <rPr>
        <sz val="12"/>
        <color rgb="FF000000"/>
        <rFont val="맑은 고딕"/>
        <family val="3"/>
        <charset val="129"/>
      </rPr>
      <t>/</t>
    </r>
    <r>
      <rPr>
        <sz val="12"/>
        <color rgb="FF000000"/>
        <rFont val="DejaVu Sans"/>
        <family val="2"/>
      </rPr>
      <t>활동량</t>
    </r>
    <r>
      <rPr>
        <sz val="12"/>
        <color rgb="FF000000"/>
        <rFont val="맑은 고딕"/>
        <family val="3"/>
        <charset val="129"/>
      </rPr>
      <t>/</t>
    </r>
    <r>
      <rPr>
        <sz val="12"/>
        <color rgb="FF000000"/>
        <rFont val="DejaVu Sans"/>
        <family val="2"/>
      </rPr>
      <t>수면 관련 원천 데이터</t>
    </r>
  </si>
  <si>
    <t>feeder_log</t>
  </si>
  <si>
    <r>
      <rPr>
        <sz val="12"/>
        <color rgb="FF000000"/>
        <rFont val="DejaVu Sans"/>
        <family val="2"/>
      </rPr>
      <t>급여량</t>
    </r>
    <r>
      <rPr>
        <sz val="12"/>
        <color rgb="FF000000"/>
        <rFont val="맑은 고딕"/>
        <family val="3"/>
        <charset val="129"/>
      </rPr>
      <t xml:space="preserve">, </t>
    </r>
    <r>
      <rPr>
        <sz val="12"/>
        <color rgb="FF000000"/>
        <rFont val="DejaVu Sans"/>
        <family val="2"/>
      </rPr>
      <t>급여 방식</t>
    </r>
    <r>
      <rPr>
        <sz val="12"/>
        <color rgb="FF000000"/>
        <rFont val="맑은 고딕"/>
        <family val="3"/>
        <charset val="129"/>
      </rPr>
      <t xml:space="preserve">, </t>
    </r>
    <r>
      <rPr>
        <sz val="12"/>
        <color rgb="FF000000"/>
        <rFont val="DejaVu Sans"/>
        <family val="2"/>
      </rPr>
      <t>급여 성공 여부 등 사료 원천 데이터</t>
    </r>
  </si>
  <si>
    <t>water_log</t>
  </si>
  <si>
    <r>
      <rPr>
        <sz val="12"/>
        <color theme="1"/>
        <rFont val="DejaVu Sans"/>
        <family val="2"/>
      </rPr>
      <t>음수량</t>
    </r>
    <r>
      <rPr>
        <sz val="12"/>
        <color theme="1"/>
        <rFont val="맑은 고딕"/>
        <family val="3"/>
        <charset val="129"/>
      </rPr>
      <t xml:space="preserve">, </t>
    </r>
    <r>
      <rPr>
        <sz val="12"/>
        <color theme="1"/>
        <rFont val="DejaVu Sans"/>
        <family val="2"/>
      </rPr>
      <t>음수 감지 여부 등 물 섭취 원천 데이터</t>
    </r>
  </si>
  <si>
    <t>camera_log</t>
  </si>
  <si>
    <r>
      <rPr>
        <sz val="11"/>
        <color rgb="FF000000"/>
        <rFont val="DejaVu Sans"/>
        <family val="2"/>
      </rPr>
      <t>행동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DejaVu Sans"/>
        <family val="2"/>
      </rPr>
      <t>위치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DejaVu Sans"/>
        <family val="2"/>
      </rPr>
      <t>배변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DejaVu Sans"/>
        <family val="2"/>
      </rPr>
      <t>근접체류 등 카메라 감지 결과값 저장</t>
    </r>
  </si>
  <si>
    <t>state</t>
  </si>
  <si>
    <r>
      <rPr>
        <sz val="11"/>
        <color rgb="FF000000"/>
        <rFont val="맑은 고딕"/>
        <family val="3"/>
        <charset val="129"/>
      </rPr>
      <t>wearable_log, feeder_log, water_log, camera_log</t>
    </r>
    <r>
      <rPr>
        <sz val="11"/>
        <color rgb="FF000000"/>
        <rFont val="DejaVu Sans"/>
        <family val="2"/>
      </rPr>
      <t>의 원천 데이터를 참조하여 특정 시점의 반려동물 상태를 통합 관리하고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이를 기반으로 이벤트 판별 및 후속 처리를 위한 기준 데이터를 제공</t>
    </r>
  </si>
  <si>
    <t>device_analysis_log</t>
  </si>
  <si>
    <t>event_log</t>
  </si>
  <si>
    <r>
      <rPr>
        <sz val="11"/>
        <color rgb="FF000000"/>
        <rFont val="DejaVu Sans"/>
        <family val="2"/>
      </rPr>
      <t>건강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DejaVu Sans"/>
        <family val="2"/>
      </rPr>
      <t>하이라이트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DejaVu Sans"/>
        <family val="2"/>
      </rPr>
      <t>영상통화 등 판단 결과를 저장</t>
    </r>
  </si>
  <si>
    <t>risk_score_log</t>
  </si>
  <si>
    <t>alert_log</t>
  </si>
  <si>
    <r>
      <rPr>
        <sz val="11"/>
        <color rgb="FF000000"/>
        <rFont val="DejaVu Sans"/>
        <family val="2"/>
      </rPr>
      <t>발송된 알림의 종류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상태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확인 여부를 저장</t>
    </r>
  </si>
  <si>
    <t>action_log</t>
  </si>
  <si>
    <r>
      <rPr>
        <sz val="11"/>
        <color rgb="FF000000"/>
        <rFont val="DejaVu Sans"/>
        <family val="2"/>
      </rPr>
      <t>자동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DejaVu Sans"/>
        <family val="2"/>
      </rPr>
      <t>수동 조치 결과를 저장</t>
    </r>
  </si>
  <si>
    <t>media_log</t>
  </si>
  <si>
    <r>
      <rPr>
        <sz val="11"/>
        <color rgb="FF000000"/>
        <rFont val="DejaVu Sans"/>
        <family val="2"/>
      </rPr>
      <t>하이라이트 이미지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DejaVu Sans"/>
        <family val="2"/>
      </rPr>
      <t>영상 파일과 메타데이터 저장</t>
    </r>
  </si>
  <si>
    <t>environment_log</t>
  </si>
  <si>
    <r>
      <rPr>
        <sz val="11"/>
        <color rgb="FF000000"/>
        <rFont val="DejaVu Sans"/>
        <family val="2"/>
      </rPr>
      <t>온도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습도 등 환경 데이터 저장</t>
    </r>
  </si>
  <si>
    <t>behavior_codes</t>
  </si>
  <si>
    <r>
      <rPr>
        <sz val="11"/>
        <color rgb="FF000000"/>
        <rFont val="DejaVu Sans"/>
        <family val="2"/>
      </rPr>
      <t>카메라가 감지한 원천 행동 코드 기준표</t>
    </r>
    <r>
      <rPr>
        <sz val="11"/>
        <color rgb="FF000000"/>
        <rFont val="맑은 고딕"/>
        <family val="3"/>
        <charset val="129"/>
      </rPr>
      <t>. event_log</t>
    </r>
    <r>
      <rPr>
        <sz val="11"/>
        <color rgb="FF000000"/>
        <rFont val="DejaVu Sans"/>
        <family val="2"/>
      </rPr>
      <t>의 최종 사건 전 단계 행동 분류</t>
    </r>
  </si>
  <si>
    <t>event_codes</t>
  </si>
  <si>
    <r>
      <rPr>
        <sz val="11"/>
        <color rgb="FF000000"/>
        <rFont val="DejaVu Sans"/>
        <family val="2"/>
      </rPr>
      <t>시스템이 최종 판단한 사건 코드 기준표</t>
    </r>
    <r>
      <rPr>
        <sz val="11"/>
        <color rgb="FF000000"/>
        <rFont val="맑은 고딕"/>
        <family val="3"/>
        <charset val="129"/>
      </rPr>
      <t xml:space="preserve">. event_log.event_code, </t>
    </r>
    <r>
      <rPr>
        <sz val="11"/>
        <color rgb="FF000000"/>
        <rFont val="DejaVu Sans"/>
        <family val="2"/>
      </rPr>
      <t>설정 테이블 기준값과 연결</t>
    </r>
  </si>
  <si>
    <t>PK</t>
  </si>
  <si>
    <r>
      <rPr>
        <sz val="11"/>
        <rFont val="DejaVu Sans"/>
        <family val="2"/>
      </rPr>
      <t>로그인</t>
    </r>
    <r>
      <rPr>
        <sz val="11"/>
        <rFont val="맑은 고딕"/>
        <family val="3"/>
        <charset val="129"/>
      </rPr>
      <t>ID</t>
    </r>
  </si>
  <si>
    <t>비밀번호</t>
  </si>
  <si>
    <t>이름</t>
  </si>
  <si>
    <t>이메일</t>
  </si>
  <si>
    <t>인증여부</t>
  </si>
  <si>
    <t>권한</t>
  </si>
  <si>
    <t>상태</t>
  </si>
  <si>
    <t>생성일</t>
  </si>
  <si>
    <t>수정일</t>
  </si>
  <si>
    <t>id</t>
  </si>
  <si>
    <t>login_id</t>
  </si>
  <si>
    <t>password</t>
  </si>
  <si>
    <t>user_name</t>
  </si>
  <si>
    <t>email</t>
  </si>
  <si>
    <t>email_verified</t>
  </si>
  <si>
    <t>role_type</t>
  </si>
  <si>
    <t>account_status</t>
  </si>
  <si>
    <t>created_at</t>
  </si>
  <si>
    <t>updated_at</t>
  </si>
  <si>
    <t>bigint</t>
  </si>
  <si>
    <t>varchar(50)</t>
  </si>
  <si>
    <t>varchar(255)</t>
  </si>
  <si>
    <t>varchar(100)</t>
  </si>
  <si>
    <t>boolean</t>
  </si>
  <si>
    <t>ENUM</t>
  </si>
  <si>
    <t>DATETIME</t>
  </si>
  <si>
    <t>not null</t>
  </si>
  <si>
    <t>auto_increment</t>
  </si>
  <si>
    <t>UNIQUE</t>
  </si>
  <si>
    <r>
      <rPr>
        <sz val="11"/>
        <rFont val="DejaVu Sans"/>
        <family val="2"/>
      </rPr>
      <t>사용자</t>
    </r>
    <r>
      <rPr>
        <sz val="11"/>
        <rFont val="맑은 고딕"/>
        <family val="3"/>
        <charset val="129"/>
      </rPr>
      <t xml:space="preserve">, </t>
    </r>
    <r>
      <rPr>
        <sz val="11"/>
        <rFont val="DejaVu Sans"/>
        <family val="2"/>
      </rPr>
      <t>관리자</t>
    </r>
  </si>
  <si>
    <r>
      <rPr>
        <sz val="11"/>
        <rFont val="DejaVu Sans"/>
        <family val="2"/>
      </rPr>
      <t xml:space="preserve">휴면 </t>
    </r>
    <r>
      <rPr>
        <sz val="11"/>
        <rFont val="맑은 고딕"/>
        <family val="3"/>
        <charset val="129"/>
      </rPr>
      <t xml:space="preserve">/ </t>
    </r>
    <r>
      <rPr>
        <sz val="11"/>
        <rFont val="DejaVu Sans"/>
        <family val="2"/>
      </rPr>
      <t xml:space="preserve">탈퇴 </t>
    </r>
    <r>
      <rPr>
        <sz val="11"/>
        <rFont val="맑은 고딕"/>
        <family val="3"/>
        <charset val="129"/>
      </rPr>
      <t xml:space="preserve">/ </t>
    </r>
    <r>
      <rPr>
        <sz val="11"/>
        <rFont val="DejaVu Sans"/>
        <family val="2"/>
      </rPr>
      <t>활성</t>
    </r>
  </si>
  <si>
    <t>인증번호</t>
  </si>
  <si>
    <t>요청일시</t>
  </si>
  <si>
    <t>만료일시</t>
  </si>
  <si>
    <t>인증완료일시</t>
  </si>
  <si>
    <t>verification_code</t>
  </si>
  <si>
    <t>is_verified</t>
  </si>
  <si>
    <t>requested_at</t>
  </si>
  <si>
    <t>expired_at</t>
  </si>
  <si>
    <t>verified_at</t>
  </si>
  <si>
    <t>varchar(20)</t>
  </si>
  <si>
    <t>FK</t>
  </si>
  <si>
    <t>종</t>
  </si>
  <si>
    <t>품종</t>
  </si>
  <si>
    <t>성별</t>
  </si>
  <si>
    <t>생년월일</t>
  </si>
  <si>
    <t>체중</t>
  </si>
  <si>
    <t>프로필이미지</t>
  </si>
  <si>
    <t>user_id</t>
  </si>
  <si>
    <t>pet_name</t>
  </si>
  <si>
    <t>species</t>
  </si>
  <si>
    <t>breed</t>
  </si>
  <si>
    <t>gender</t>
  </si>
  <si>
    <t>birth_date</t>
  </si>
  <si>
    <t>weight_kg</t>
  </si>
  <si>
    <t>profile_image_url</t>
  </si>
  <si>
    <t>DATE</t>
  </si>
  <si>
    <t>float</t>
  </si>
  <si>
    <t>(users.id)</t>
  </si>
  <si>
    <t>평균안정심박수</t>
  </si>
  <si>
    <t>평소식사시간</t>
  </si>
  <si>
    <r>
      <rPr>
        <sz val="11"/>
        <rFont val="맑은 고딕"/>
        <family val="3"/>
        <charset val="1"/>
      </rPr>
      <t>1</t>
    </r>
    <r>
      <rPr>
        <sz val="11"/>
        <rFont val="DejaVu Sans"/>
        <family val="2"/>
      </rPr>
      <t>일평균음수량</t>
    </r>
  </si>
  <si>
    <t>평균취침시작시간</t>
  </si>
  <si>
    <r>
      <rPr>
        <sz val="11"/>
        <rFont val="맑은 고딕"/>
        <family val="3"/>
        <charset val="1"/>
      </rPr>
      <t>1</t>
    </r>
    <r>
      <rPr>
        <sz val="11"/>
        <rFont val="DejaVu Sans"/>
        <family val="2"/>
      </rPr>
      <t>일평균수면총량</t>
    </r>
  </si>
  <si>
    <t>기준일수</t>
  </si>
  <si>
    <t>pet_id</t>
  </si>
  <si>
    <t>resting_heart_rate_bpm</t>
  </si>
  <si>
    <t>usual_meal_time</t>
  </si>
  <si>
    <t>daily_water_baseline_ml</t>
  </si>
  <si>
    <t>avg_bedtime</t>
  </si>
  <si>
    <t>avg_sleep_minutes</t>
  </si>
  <si>
    <t>baseline_days</t>
  </si>
  <si>
    <t>TIME</t>
  </si>
  <si>
    <t>int</t>
  </si>
  <si>
    <t>(pets.id)</t>
  </si>
  <si>
    <r>
      <rPr>
        <sz val="11"/>
        <rFont val="DejaVu Sans"/>
        <family val="2"/>
      </rPr>
      <t xml:space="preserve">안정 시 평균 </t>
    </r>
    <r>
      <rPr>
        <sz val="11"/>
        <rFont val="맑은 고딕"/>
        <family val="3"/>
        <charset val="1"/>
      </rPr>
      <t>bpm</t>
    </r>
  </si>
  <si>
    <r>
      <rPr>
        <sz val="11"/>
        <rFont val="DejaVu Sans"/>
        <family val="2"/>
      </rPr>
      <t>예</t>
    </r>
    <r>
      <rPr>
        <sz val="11"/>
        <rFont val="맑은 고딕"/>
        <family val="3"/>
        <charset val="1"/>
      </rPr>
      <t>: 08:00</t>
    </r>
  </si>
  <si>
    <r>
      <rPr>
        <sz val="11"/>
        <rFont val="DejaVu Sans"/>
        <family val="2"/>
      </rPr>
      <t>예</t>
    </r>
    <r>
      <rPr>
        <sz val="11"/>
        <rFont val="맑은 고딕"/>
        <family val="3"/>
        <charset val="1"/>
      </rPr>
      <t>: 600ml</t>
    </r>
  </si>
  <si>
    <r>
      <rPr>
        <sz val="11"/>
        <rFont val="DejaVu Sans"/>
        <family val="2"/>
      </rPr>
      <t>예</t>
    </r>
    <r>
      <rPr>
        <sz val="11"/>
        <rFont val="맑은 고딕"/>
        <family val="3"/>
        <charset val="1"/>
      </rPr>
      <t>: 22:30</t>
    </r>
  </si>
  <si>
    <t>분 단위 저장</t>
  </si>
  <si>
    <r>
      <rPr>
        <sz val="11"/>
        <rFont val="DejaVu Sans"/>
        <family val="2"/>
      </rPr>
      <t xml:space="preserve">권장 </t>
    </r>
    <r>
      <rPr>
        <sz val="11"/>
        <rFont val="맑은 고딕"/>
        <family val="3"/>
        <charset val="1"/>
      </rPr>
      <t>7</t>
    </r>
  </si>
  <si>
    <t>시리얼번호</t>
  </si>
  <si>
    <t>디바이스타입</t>
  </si>
  <si>
    <t>디바이스명</t>
  </si>
  <si>
    <t>설치위치</t>
  </si>
  <si>
    <t>연결상태</t>
  </si>
  <si>
    <t>삭제여부</t>
  </si>
  <si>
    <t>삭제일</t>
  </si>
  <si>
    <t>device_serial</t>
  </si>
  <si>
    <t>device_type</t>
  </si>
  <si>
    <t>device_name</t>
  </si>
  <si>
    <t>install_location</t>
  </si>
  <si>
    <t>connection_status</t>
  </si>
  <si>
    <t>is_deleted</t>
  </si>
  <si>
    <t>deleted_at</t>
  </si>
  <si>
    <t>not null, default(false)</t>
  </si>
  <si>
    <t>device_id</t>
  </si>
  <si>
    <t>UNIQUE (pet_id, device_id)</t>
  </si>
  <si>
    <t>전체알림여부</t>
  </si>
  <si>
    <t>master_enabled</t>
  </si>
  <si>
    <t>UNIQUE (user_id, pet_id)</t>
  </si>
  <si>
    <t>조건키</t>
  </si>
  <si>
    <t>비교연산자</t>
  </si>
  <si>
    <t>임계값</t>
  </si>
  <si>
    <t>단위</t>
  </si>
  <si>
    <t>활성여부</t>
  </si>
  <si>
    <t>event_code_id</t>
  </si>
  <si>
    <t>condition_key</t>
  </si>
  <si>
    <t>comparison_operator</t>
  </si>
  <si>
    <t>threshold_value</t>
  </si>
  <si>
    <t>threshold_unit</t>
  </si>
  <si>
    <t>is_active</t>
  </si>
  <si>
    <t>UNIQUE (pet_id, event_code_id, condition_key)</t>
  </si>
  <si>
    <t>(event_codes.id)</t>
  </si>
  <si>
    <r>
      <rPr>
        <sz val="11"/>
        <rFont val="DejaVu Sans"/>
        <family val="2"/>
      </rPr>
      <t>예</t>
    </r>
    <r>
      <rPr>
        <sz val="11"/>
        <rFont val="맑은 고딕"/>
        <family val="3"/>
        <charset val="1"/>
      </rPr>
      <t>: DEVIATION_PCT</t>
    </r>
  </si>
  <si>
    <r>
      <rPr>
        <sz val="11"/>
        <rFont val="DejaVu Sans"/>
        <family val="2"/>
      </rPr>
      <t xml:space="preserve">주로 </t>
    </r>
    <r>
      <rPr>
        <sz val="11"/>
        <rFont val="맑은 고딕"/>
        <family val="3"/>
        <charset val="1"/>
      </rPr>
      <t xml:space="preserve">GTE </t>
    </r>
    <r>
      <rPr>
        <sz val="11"/>
        <rFont val="DejaVu Sans"/>
        <family val="2"/>
      </rPr>
      <t>사용</t>
    </r>
  </si>
  <si>
    <r>
      <rPr>
        <sz val="11"/>
        <rFont val="DejaVu Sans"/>
        <family val="2"/>
      </rPr>
      <t>문턱값</t>
    </r>
    <r>
      <rPr>
        <sz val="11"/>
        <rFont val="맑은 고딕"/>
        <family val="3"/>
        <charset val="1"/>
      </rPr>
      <t>/</t>
    </r>
    <r>
      <rPr>
        <sz val="11"/>
        <rFont val="DejaVu Sans"/>
        <family val="2"/>
      </rPr>
      <t>임계값</t>
    </r>
  </si>
  <si>
    <r>
      <rPr>
        <sz val="11"/>
        <rFont val="DejaVu Sans"/>
        <family val="2"/>
      </rPr>
      <t>예</t>
    </r>
    <r>
      <rPr>
        <sz val="11"/>
        <rFont val="맑은 고딕"/>
        <family val="3"/>
        <charset val="1"/>
      </rPr>
      <t>: PERCENT</t>
    </r>
  </si>
  <si>
    <t>필요 시만 사용</t>
  </si>
  <si>
    <t>설정 사용 여부</t>
  </si>
  <si>
    <t>심박수</t>
  </si>
  <si>
    <t>체온</t>
  </si>
  <si>
    <t>활동량</t>
  </si>
  <si>
    <t>수면시간</t>
  </si>
  <si>
    <t>수면상태</t>
  </si>
  <si>
    <t>기록시간</t>
  </si>
  <si>
    <t>heart_rate</t>
  </si>
  <si>
    <t>body_temp_c</t>
  </si>
  <si>
    <t>activity_count</t>
  </si>
  <si>
    <t>sleep_minutes</t>
  </si>
  <si>
    <t>sleep_status</t>
  </si>
  <si>
    <t>recorded_at</t>
  </si>
  <si>
    <t>급여량</t>
  </si>
  <si>
    <t>급여방식</t>
  </si>
  <si>
    <t>급여상태</t>
  </si>
  <si>
    <t>섭취완료여부</t>
  </si>
  <si>
    <t>예약시간</t>
  </si>
  <si>
    <t>feed_amount_g</t>
  </si>
  <si>
    <t>feed_mode</t>
  </si>
  <si>
    <t>feed_status</t>
  </si>
  <si>
    <t>meal_completed</t>
  </si>
  <si>
    <t>scheduled_for</t>
  </si>
  <si>
    <t>enum</t>
  </si>
  <si>
    <t>음수량</t>
  </si>
  <si>
    <t>음수감지여부</t>
  </si>
  <si>
    <t>water_amount_ml</t>
  </si>
  <si>
    <t>drink_detected</t>
  </si>
  <si>
    <t>감지행동</t>
  </si>
  <si>
    <t>위치구역</t>
  </si>
  <si>
    <t>카메라거리</t>
  </si>
  <si>
    <t>촬영시간</t>
  </si>
  <si>
    <t>detected_behavior</t>
  </si>
  <si>
    <t>location_zone</t>
  </si>
  <si>
    <t>distance_to_camera_m</t>
  </si>
  <si>
    <t>captured_at</t>
  </si>
  <si>
    <t>머문시간</t>
  </si>
  <si>
    <t>울음횟수</t>
  </si>
  <si>
    <t>배변감지</t>
  </si>
  <si>
    <t>배뇨감지</t>
  </si>
  <si>
    <t>배설상태</t>
  </si>
  <si>
    <t>camera_log_id</t>
  </si>
  <si>
    <t>stay_duration_sec</t>
  </si>
  <si>
    <t>vocalization_count</t>
  </si>
  <si>
    <t>defecation_detected</t>
  </si>
  <si>
    <t>urination_detected</t>
  </si>
  <si>
    <t>elimination_status</t>
  </si>
  <si>
    <t>not null default 0</t>
  </si>
  <si>
    <t>not null default false</t>
  </si>
  <si>
    <t>not null default 'none'</t>
  </si>
  <si>
    <r>
      <rPr>
        <sz val="11"/>
        <rFont val="DejaVu Sans"/>
        <family val="2"/>
      </rPr>
      <t>일일음수량</t>
    </r>
    <r>
      <rPr>
        <sz val="11"/>
        <rFont val="맑은 고딕"/>
        <family val="3"/>
        <charset val="129"/>
      </rPr>
      <t>(</t>
    </r>
    <r>
      <rPr>
        <sz val="11"/>
        <rFont val="DejaVu Sans"/>
        <family val="2"/>
      </rPr>
      <t>섭취량</t>
    </r>
    <r>
      <rPr>
        <sz val="11"/>
        <rFont val="맑은 고딕"/>
        <family val="3"/>
        <charset val="129"/>
      </rPr>
      <t>)</t>
    </r>
  </si>
  <si>
    <t>현재위치</t>
  </si>
  <si>
    <t>최근행동</t>
  </si>
  <si>
    <t>처리여부</t>
  </si>
  <si>
    <t>daily_water_amount_ml</t>
  </si>
  <si>
    <t>current_location</t>
  </si>
  <si>
    <t>last_behavior</t>
  </si>
  <si>
    <t>processed</t>
  </si>
  <si>
    <t>이벤트코드</t>
  </si>
  <si>
    <t>발생시간</t>
  </si>
  <si>
    <t>state_id</t>
  </si>
  <si>
    <t>occurred_at</t>
  </si>
  <si>
    <t>종합점수</t>
  </si>
  <si>
    <t>현재 위험도 등급</t>
  </si>
  <si>
    <t>이전 점수 대비 변화량</t>
  </si>
  <si>
    <r>
      <rPr>
        <sz val="11"/>
        <rFont val="DejaVu Sans"/>
        <family val="2"/>
      </rPr>
      <t>점수 변화 요인</t>
    </r>
    <r>
      <rPr>
        <sz val="11"/>
        <rFont val="맑은 고딕"/>
        <family val="3"/>
        <charset val="129"/>
      </rPr>
      <t>(</t>
    </r>
    <r>
      <rPr>
        <sz val="11"/>
        <rFont val="DejaVu Sans"/>
        <family val="2"/>
      </rPr>
      <t>사유</t>
    </r>
    <r>
      <rPr>
        <sz val="11"/>
        <rFont val="맑은 고딕"/>
        <family val="3"/>
        <charset val="129"/>
      </rPr>
      <t>)</t>
    </r>
  </si>
  <si>
    <r>
      <rPr>
        <sz val="11"/>
        <rFont val="DejaVu Sans"/>
        <family val="2"/>
      </rPr>
      <t>점수</t>
    </r>
    <r>
      <rPr>
        <sz val="11"/>
        <rFont val="맑은 고딕"/>
        <family val="3"/>
        <charset val="129"/>
      </rPr>
      <t>/</t>
    </r>
    <r>
      <rPr>
        <sz val="11"/>
        <rFont val="DejaVu Sans"/>
        <family val="2"/>
      </rPr>
      <t>등급 산출기록 시각</t>
    </r>
  </si>
  <si>
    <t>total_score</t>
  </si>
  <si>
    <t>current_risk_level</t>
  </si>
  <si>
    <t>change_amount</t>
  </si>
  <si>
    <t>event_log_id</t>
  </si>
  <si>
    <t>action_log_id</t>
  </si>
  <si>
    <t>reason</t>
  </si>
  <si>
    <t>datetime</t>
  </si>
  <si>
    <t>not null, default(normal)</t>
  </si>
  <si>
    <t>위험등급</t>
  </si>
  <si>
    <t>알림 이유</t>
  </si>
  <si>
    <t>알림 채널</t>
  </si>
  <si>
    <t>알림상태</t>
  </si>
  <si>
    <t>알림메시지</t>
  </si>
  <si>
    <t>전송시간</t>
  </si>
  <si>
    <t>확인시간</t>
  </si>
  <si>
    <t>해결시간</t>
  </si>
  <si>
    <t>event_id</t>
  </si>
  <si>
    <t>risk_level</t>
  </si>
  <si>
    <t>alert_reason</t>
  </si>
  <si>
    <t>alert_channel</t>
  </si>
  <si>
    <t>alert_status</t>
  </si>
  <si>
    <t>alert_message</t>
  </si>
  <si>
    <t>sent_at</t>
  </si>
  <si>
    <t>acknowledged_at</t>
  </si>
  <si>
    <t>resolved_at</t>
  </si>
  <si>
    <t>not null, default(nomal)</t>
  </si>
  <si>
    <t>DISPLAYED / FAILED</t>
  </si>
  <si>
    <t>조치타입</t>
  </si>
  <si>
    <t>조치방식</t>
  </si>
  <si>
    <t>조치상태</t>
  </si>
  <si>
    <t>실행시간</t>
  </si>
  <si>
    <t>alert_id</t>
  </si>
  <si>
    <t>performed_by_user_id</t>
  </si>
  <si>
    <t>action_type</t>
  </si>
  <si>
    <t>action_mode</t>
  </si>
  <si>
    <t>action_status</t>
  </si>
  <si>
    <t>acted_at</t>
  </si>
  <si>
    <r>
      <rPr>
        <sz val="11"/>
        <rFont val="DejaVu Sans"/>
        <family val="2"/>
      </rPr>
      <t xml:space="preserve"> 일부 </t>
    </r>
    <r>
      <rPr>
        <sz val="11"/>
        <rFont val="맑은 고딕"/>
        <family val="3"/>
        <charset val="129"/>
      </rPr>
      <t xml:space="preserve">varchar </t>
    </r>
    <r>
      <rPr>
        <sz val="11"/>
        <rFont val="DejaVu Sans"/>
        <family val="2"/>
      </rPr>
      <t>타입 이넘으로 변경</t>
    </r>
  </si>
  <si>
    <t>미디어타입</t>
  </si>
  <si>
    <t>파일경로</t>
  </si>
  <si>
    <t>썸네일경로</t>
  </si>
  <si>
    <t>재생길이</t>
  </si>
  <si>
    <t>하이라이트여부</t>
  </si>
  <si>
    <t>공유상태</t>
  </si>
  <si>
    <t>media_type</t>
  </si>
  <si>
    <t>file_path</t>
  </si>
  <si>
    <t>thumbnail_path</t>
  </si>
  <si>
    <t>duration_seconds</t>
  </si>
  <si>
    <t>is_highlight</t>
  </si>
  <si>
    <t>share_status</t>
  </si>
  <si>
    <t>온도</t>
  </si>
  <si>
    <t>습도</t>
  </si>
  <si>
    <t>temperature_c</t>
  </si>
  <si>
    <t>humidity_pct</t>
  </si>
  <si>
    <t>행동코드</t>
  </si>
  <si>
    <t>행동카테고리</t>
  </si>
  <si>
    <t>behavior_code</t>
  </si>
  <si>
    <t>behavior_category</t>
  </si>
  <si>
    <t>이벤트카테고리</t>
  </si>
  <si>
    <t>event_code</t>
  </si>
  <si>
    <t>event_category</t>
  </si>
  <si>
    <t>설명시트</t>
  </si>
  <si>
    <r>
      <rPr>
        <sz val="11"/>
        <rFont val="맑은 고딕"/>
        <family val="3"/>
        <charset val="1"/>
      </rPr>
      <t xml:space="preserve">threshold = </t>
    </r>
    <r>
      <rPr>
        <sz val="11"/>
        <rFont val="DejaVu Sans"/>
        <family val="2"/>
      </rPr>
      <t xml:space="preserve">문턱값 </t>
    </r>
    <r>
      <rPr>
        <sz val="11"/>
        <rFont val="맑은 고딕"/>
        <family val="3"/>
        <charset val="1"/>
      </rPr>
      <t xml:space="preserve">/ </t>
    </r>
    <r>
      <rPr>
        <sz val="11"/>
        <rFont val="DejaVu Sans"/>
        <family val="2"/>
      </rPr>
      <t>임계값</t>
    </r>
    <r>
      <rPr>
        <sz val="11"/>
        <rFont val="맑은 고딕"/>
        <family val="3"/>
        <charset val="1"/>
      </rPr>
      <t xml:space="preserve">. </t>
    </r>
    <r>
      <rPr>
        <sz val="11"/>
        <rFont val="DejaVu Sans"/>
        <family val="2"/>
      </rPr>
      <t>정상으로 보지 않고 이벤트로 판단하기 시작하는 기준선</t>
    </r>
    <r>
      <rPr>
        <sz val="11"/>
        <rFont val="맑은 고딕"/>
        <family val="3"/>
        <charset val="1"/>
      </rPr>
      <t>.</t>
    </r>
  </si>
  <si>
    <t>컬럼명</t>
  </si>
  <si>
    <t>의미</t>
  </si>
  <si>
    <r>
      <rPr>
        <sz val="11"/>
        <rFont val="DejaVu Sans"/>
        <family val="2"/>
      </rPr>
      <t xml:space="preserve">우리 프로젝트에서 들어갈 값 </t>
    </r>
    <r>
      <rPr>
        <sz val="11"/>
        <rFont val="맑은 고딕"/>
        <family val="3"/>
        <charset val="1"/>
      </rPr>
      <t xml:space="preserve">/ </t>
    </r>
    <r>
      <rPr>
        <sz val="11"/>
        <rFont val="DejaVu Sans"/>
        <family val="2"/>
      </rPr>
      <t>해석</t>
    </r>
  </si>
  <si>
    <t>비고</t>
  </si>
  <si>
    <t>어느 반려동물의 기준 프로필인지 식별</t>
  </si>
  <si>
    <r>
      <rPr>
        <sz val="11"/>
        <rFont val="맑은 고딕"/>
        <family val="3"/>
        <charset val="1"/>
      </rPr>
      <t xml:space="preserve">pets.id </t>
    </r>
    <r>
      <rPr>
        <sz val="11"/>
        <rFont val="DejaVu Sans"/>
        <family val="2"/>
      </rPr>
      <t>참조</t>
    </r>
    <r>
      <rPr>
        <sz val="11"/>
        <rFont val="맑은 고딕"/>
        <family val="3"/>
        <charset val="1"/>
      </rPr>
      <t xml:space="preserve">. </t>
    </r>
    <r>
      <rPr>
        <sz val="11"/>
        <rFont val="DejaVu Sans"/>
        <family val="2"/>
      </rPr>
      <t xml:space="preserve">반려동물 </t>
    </r>
    <r>
      <rPr>
        <sz val="11"/>
        <rFont val="맑은 고딕"/>
        <family val="3"/>
        <charset val="1"/>
      </rPr>
      <t>1</t>
    </r>
    <r>
      <rPr>
        <sz val="11"/>
        <rFont val="DejaVu Sans"/>
        <family val="2"/>
      </rPr>
      <t xml:space="preserve">마리당 </t>
    </r>
    <r>
      <rPr>
        <sz val="11"/>
        <rFont val="맑은 고딕"/>
        <family val="3"/>
        <charset val="1"/>
      </rPr>
      <t>1</t>
    </r>
    <r>
      <rPr>
        <sz val="11"/>
        <rFont val="DejaVu Sans"/>
        <family val="2"/>
      </rPr>
      <t>행 권장</t>
    </r>
  </si>
  <si>
    <t>FK + UNIQUE</t>
  </si>
  <si>
    <t>평소 안정 시 평균 심박수</t>
  </si>
  <si>
    <r>
      <rPr>
        <sz val="11"/>
        <rFont val="DejaVu Sans"/>
        <family val="2"/>
      </rPr>
      <t>예</t>
    </r>
    <r>
      <rPr>
        <sz val="11"/>
        <rFont val="맑은 고딕"/>
        <family val="3"/>
        <charset val="1"/>
      </rPr>
      <t>: 80</t>
    </r>
  </si>
  <si>
    <r>
      <rPr>
        <sz val="11"/>
        <rFont val="맑은 고딕"/>
        <family val="3"/>
        <charset val="1"/>
      </rPr>
      <t>threshold</t>
    </r>
    <r>
      <rPr>
        <sz val="11"/>
        <rFont val="DejaVu Sans"/>
        <family val="2"/>
      </rPr>
      <t>가 아니라 평소 기준값</t>
    </r>
  </si>
  <si>
    <t>평소 식사 시작 기준 시각</t>
  </si>
  <si>
    <t>끼니거름 판정의 출발점</t>
  </si>
  <si>
    <r>
      <rPr>
        <sz val="11"/>
        <rFont val="DejaVu Sans"/>
        <family val="2"/>
      </rPr>
      <t xml:space="preserve">기준 일수 평균으로 본 </t>
    </r>
    <r>
      <rPr>
        <sz val="11"/>
        <rFont val="맑은 고딕"/>
        <family val="3"/>
        <charset val="1"/>
      </rPr>
      <t>1</t>
    </r>
    <r>
      <rPr>
        <sz val="11"/>
        <rFont val="DejaVu Sans"/>
        <family val="2"/>
      </rPr>
      <t>일 음수량</t>
    </r>
  </si>
  <si>
    <r>
      <rPr>
        <sz val="11"/>
        <rFont val="DejaVu Sans"/>
        <family val="2"/>
      </rPr>
      <t>예</t>
    </r>
    <r>
      <rPr>
        <sz val="11"/>
        <rFont val="맑은 고딕"/>
        <family val="3"/>
        <charset val="1"/>
      </rPr>
      <t>: 600</t>
    </r>
  </si>
  <si>
    <r>
      <rPr>
        <sz val="11"/>
        <rFont val="맑은 고딕"/>
        <family val="3"/>
        <charset val="1"/>
      </rPr>
      <t xml:space="preserve">LOW_WATER_INTAKE </t>
    </r>
    <r>
      <rPr>
        <sz val="11"/>
        <rFont val="DejaVu Sans"/>
        <family val="2"/>
      </rPr>
      <t>비교 기준</t>
    </r>
  </si>
  <si>
    <t>평균 취침 시작 시각</t>
  </si>
  <si>
    <t>수면 패턴 이상 비교 기준</t>
  </si>
  <si>
    <r>
      <rPr>
        <sz val="11"/>
        <rFont val="맑은 고딕"/>
        <family val="3"/>
        <charset val="1"/>
      </rPr>
      <t>1</t>
    </r>
    <r>
      <rPr>
        <sz val="11"/>
        <rFont val="DejaVu Sans"/>
        <family val="2"/>
      </rPr>
      <t>일 평균 총 수면량</t>
    </r>
  </si>
  <si>
    <r>
      <rPr>
        <sz val="11"/>
        <rFont val="DejaVu Sans"/>
        <family val="2"/>
      </rPr>
      <t>예</t>
    </r>
    <r>
      <rPr>
        <sz val="11"/>
        <rFont val="맑은 고딕"/>
        <family val="3"/>
        <charset val="1"/>
      </rPr>
      <t>: 480</t>
    </r>
  </si>
  <si>
    <t>위 평균값을 몇 일 평균으로 계산했는지</t>
  </si>
  <si>
    <r>
      <rPr>
        <sz val="11"/>
        <rFont val="DejaVu Sans"/>
        <family val="2"/>
      </rPr>
      <t>권장값</t>
    </r>
    <r>
      <rPr>
        <sz val="11"/>
        <rFont val="맑은 고딕"/>
        <family val="3"/>
        <charset val="1"/>
      </rPr>
      <t>: 7</t>
    </r>
  </si>
  <si>
    <t>기준 프로필 산출 근거</t>
  </si>
  <si>
    <t>어떤 이벤트 기준인지 식별</t>
  </si>
  <si>
    <r>
      <rPr>
        <sz val="11"/>
        <rFont val="맑은 고딕"/>
        <family val="3"/>
        <charset val="1"/>
      </rPr>
      <t xml:space="preserve">event_codes.event_code </t>
    </r>
    <r>
      <rPr>
        <sz val="11"/>
        <rFont val="DejaVu Sans"/>
        <family val="2"/>
      </rPr>
      <t>기준</t>
    </r>
    <r>
      <rPr>
        <sz val="11"/>
        <rFont val="맑은 고딕"/>
        <family val="3"/>
        <charset val="1"/>
      </rPr>
      <t>: ZOOMIES / ABNORMAL_HEART_RATE / MEAL_SKIPPED / LOW_WATER_INTAKE / SLEEP_PATTERN_CHANGE / EXCESSIVE_VOCALIZATION / REPEATED_SCOOTING</t>
    </r>
  </si>
  <si>
    <r>
      <rPr>
        <sz val="11"/>
        <rFont val="DejaVu Sans"/>
        <family val="2"/>
      </rPr>
      <t xml:space="preserve">실제 저장값은 </t>
    </r>
    <r>
      <rPr>
        <sz val="11"/>
        <rFont val="맑은 고딕"/>
        <family val="3"/>
        <charset val="1"/>
      </rPr>
      <t>FK(id)</t>
    </r>
  </si>
  <si>
    <t>이벤트 안의 세부 조건 이름</t>
  </si>
  <si>
    <t>SPEED_MPS / DEVIATION_PCT / DURATION_SEC / DELAY_HOURS / REDUCTION_PCT / BEDTIME_DELAY_MIN / SLEEP_REDUCTION_PCT / CONTINUOUS_SEC / REPEAT_COUNT</t>
  </si>
  <si>
    <r>
      <rPr>
        <sz val="11"/>
        <rFont val="DejaVu Sans"/>
        <family val="2"/>
      </rPr>
      <t xml:space="preserve">이벤트 </t>
    </r>
    <r>
      <rPr>
        <sz val="11"/>
        <rFont val="맑은 고딕"/>
        <family val="3"/>
        <charset val="1"/>
      </rPr>
      <t>1</t>
    </r>
    <r>
      <rPr>
        <sz val="11"/>
        <rFont val="DejaVu Sans"/>
        <family val="2"/>
      </rPr>
      <t>개를 조건 여러 행으로 분해</t>
    </r>
  </si>
  <si>
    <t>관측값과 기준값을 어떻게 비교할지</t>
  </si>
  <si>
    <r>
      <rPr>
        <sz val="11"/>
        <rFont val="DejaVu Sans"/>
        <family val="2"/>
      </rPr>
      <t>권장값</t>
    </r>
    <r>
      <rPr>
        <sz val="11"/>
        <rFont val="맑은 고딕"/>
        <family val="3"/>
        <charset val="1"/>
      </rPr>
      <t>: GTE(</t>
    </r>
    <r>
      <rPr>
        <sz val="11"/>
        <rFont val="DejaVu Sans"/>
        <family val="2"/>
      </rPr>
      <t>이상</t>
    </r>
    <r>
      <rPr>
        <sz val="11"/>
        <rFont val="맑은 고딕"/>
        <family val="3"/>
        <charset val="1"/>
      </rPr>
      <t xml:space="preserve">). </t>
    </r>
    <r>
      <rPr>
        <sz val="11"/>
        <rFont val="DejaVu Sans"/>
        <family val="2"/>
      </rPr>
      <t xml:space="preserve">필요 시 </t>
    </r>
    <r>
      <rPr>
        <sz val="11"/>
        <rFont val="맑은 고딕"/>
        <family val="3"/>
        <charset val="1"/>
      </rPr>
      <t xml:space="preserve">LTE, EQ </t>
    </r>
    <r>
      <rPr>
        <sz val="11"/>
        <rFont val="DejaVu Sans"/>
        <family val="2"/>
      </rPr>
      <t>확장</t>
    </r>
  </si>
  <si>
    <r>
      <rPr>
        <sz val="11"/>
        <rFont val="맑은 고딕"/>
        <family val="3"/>
        <charset val="1"/>
      </rPr>
      <t>1</t>
    </r>
    <r>
      <rPr>
        <sz val="11"/>
        <rFont val="DejaVu Sans"/>
        <family val="2"/>
      </rPr>
      <t xml:space="preserve">차 구현은 대부분 </t>
    </r>
    <r>
      <rPr>
        <sz val="11"/>
        <rFont val="맑은 고딕"/>
        <family val="3"/>
        <charset val="1"/>
      </rPr>
      <t>GTE</t>
    </r>
  </si>
  <si>
    <t>이벤트 발생 문턱값 자체</t>
  </si>
  <si>
    <r>
      <rPr>
        <sz val="11"/>
        <rFont val="DejaVu Sans"/>
        <family val="2"/>
      </rPr>
      <t>예</t>
    </r>
    <r>
      <rPr>
        <sz val="11"/>
        <rFont val="맑은 고딕"/>
        <family val="3"/>
        <charset val="1"/>
      </rPr>
      <t>: 3.0 / 30 / 600 / 2 / 120 / 60 / 5</t>
    </r>
  </si>
  <si>
    <r>
      <rPr>
        <sz val="11"/>
        <rFont val="맑은 고딕"/>
        <family val="3"/>
        <charset val="1"/>
      </rPr>
      <t xml:space="preserve">threshold = </t>
    </r>
    <r>
      <rPr>
        <sz val="11"/>
        <rFont val="DejaVu Sans"/>
        <family val="2"/>
      </rPr>
      <t>임계값</t>
    </r>
  </si>
  <si>
    <r>
      <rPr>
        <sz val="11"/>
        <rFont val="맑은 고딕"/>
        <family val="3"/>
        <charset val="1"/>
      </rPr>
      <t>threshold_value</t>
    </r>
    <r>
      <rPr>
        <sz val="11"/>
        <rFont val="DejaVu Sans"/>
        <family val="2"/>
      </rPr>
      <t>의 단위</t>
    </r>
  </si>
  <si>
    <t>MPS / PERCENT / HOUR / MINUTE / SECOND / COUNT</t>
  </si>
  <si>
    <t>조건별 단위 고정 가능</t>
  </si>
  <si>
    <t>몇 일 평균 기준과 비교할지</t>
  </si>
  <si>
    <r>
      <rPr>
        <sz val="11"/>
        <rFont val="DejaVu Sans"/>
        <family val="2"/>
      </rPr>
      <t>예</t>
    </r>
    <r>
      <rPr>
        <sz val="11"/>
        <rFont val="맑은 고딕"/>
        <family val="3"/>
        <charset val="1"/>
      </rPr>
      <t>: 7</t>
    </r>
  </si>
  <si>
    <r>
      <rPr>
        <sz val="11"/>
        <rFont val="맑은 고딕"/>
        <family val="3"/>
        <charset val="1"/>
      </rPr>
      <t xml:space="preserve">REDUCTION_PCT </t>
    </r>
    <r>
      <rPr>
        <sz val="11"/>
        <rFont val="DejaVu Sans"/>
        <family val="2"/>
      </rPr>
      <t>같은 평균 비교 조건에서만 사용</t>
    </r>
  </si>
  <si>
    <t>해당 조건을 실제 판정에 사용할지</t>
  </si>
  <si>
    <t>true / false</t>
  </si>
  <si>
    <r>
      <rPr>
        <sz val="11"/>
        <rFont val="맑은 고딕"/>
        <family val="3"/>
        <charset val="1"/>
      </rPr>
      <t>UI</t>
    </r>
    <r>
      <rPr>
        <sz val="11"/>
        <rFont val="DejaVu Sans"/>
        <family val="2"/>
      </rPr>
      <t xml:space="preserve">에서 </t>
    </r>
    <r>
      <rPr>
        <sz val="11"/>
        <rFont val="맑은 고딕"/>
        <family val="3"/>
        <charset val="1"/>
      </rPr>
      <t xml:space="preserve">on/off </t>
    </r>
    <r>
      <rPr>
        <sz val="11"/>
        <rFont val="DejaVu Sans"/>
        <family val="2"/>
      </rPr>
      <t>가능</t>
    </r>
  </si>
  <si>
    <t>샘플데이터</t>
  </si>
  <si>
    <r>
      <rPr>
        <sz val="11"/>
        <rFont val="DejaVu Sans"/>
        <family val="2"/>
      </rPr>
      <t>콩이</t>
    </r>
    <r>
      <rPr>
        <sz val="11"/>
        <rFont val="맑은 고딕"/>
        <family val="3"/>
        <charset val="1"/>
      </rPr>
      <t xml:space="preserve">(pet_id=1) </t>
    </r>
    <r>
      <rPr>
        <sz val="11"/>
        <rFont val="DejaVu Sans"/>
        <family val="2"/>
      </rPr>
      <t>기준 예시</t>
    </r>
    <r>
      <rPr>
        <sz val="11"/>
        <rFont val="맑은 고딕"/>
        <family val="3"/>
        <charset val="1"/>
      </rPr>
      <t xml:space="preserve">. </t>
    </r>
    <r>
      <rPr>
        <sz val="11"/>
        <rFont val="DejaVu Sans"/>
        <family val="2"/>
      </rPr>
      <t>아래 값은 구조 이해를 위한 샘플이다</t>
    </r>
    <r>
      <rPr>
        <sz val="11"/>
        <rFont val="맑은 고딕"/>
        <family val="3"/>
        <charset val="1"/>
      </rPr>
      <t>.</t>
    </r>
  </si>
  <si>
    <t>08:00</t>
  </si>
  <si>
    <t>22:30</t>
  </si>
  <si>
    <r>
      <rPr>
        <sz val="11"/>
        <rFont val="맑은 고딕"/>
        <family val="3"/>
        <charset val="1"/>
      </rPr>
      <t>event_code_id(</t>
    </r>
    <r>
      <rPr>
        <sz val="11"/>
        <rFont val="DejaVu Sans"/>
        <family val="2"/>
      </rPr>
      <t>의미</t>
    </r>
    <r>
      <rPr>
        <sz val="11"/>
        <rFont val="맑은 고딕"/>
        <family val="3"/>
        <charset val="1"/>
      </rPr>
      <t>)</t>
    </r>
  </si>
  <si>
    <t>ZOOMIES</t>
  </si>
  <si>
    <t>SPEED_MPS</t>
  </si>
  <si>
    <t>GTE</t>
  </si>
  <si>
    <t>MPS</t>
  </si>
  <si>
    <t>ABNORMAL_HEART_RATE</t>
  </si>
  <si>
    <t>DEVIATION_PCT</t>
  </si>
  <si>
    <t>PERCENT</t>
  </si>
  <si>
    <t>DURATION_SEC</t>
  </si>
  <si>
    <t>SECOND</t>
  </si>
  <si>
    <t>MEAL_SKIPPED</t>
  </si>
  <si>
    <t>DELAY_HOURS</t>
  </si>
  <si>
    <t>HOUR</t>
  </si>
  <si>
    <t>LOW_WATER_INTAKE</t>
  </si>
  <si>
    <t>REDUCTION_PCT</t>
  </si>
  <si>
    <t>SLEEP_PATTERN_CHANGE</t>
  </si>
  <si>
    <t>BEDTIME_DELAY_MIN</t>
  </si>
  <si>
    <t>MINUTE</t>
  </si>
  <si>
    <t>SLEEP_REDUCTION_PCT</t>
  </si>
  <si>
    <t>EXCESSIVE_VOCALIZATION</t>
  </si>
  <si>
    <t>CONTINUOUS_SEC</t>
  </si>
  <si>
    <t>REPEAT_COUNT</t>
  </si>
  <si>
    <t>COUNT</t>
  </si>
  <si>
    <t>REPEATED_SCOOTING</t>
  </si>
  <si>
    <t>흐름예시</t>
  </si>
  <si>
    <r>
      <rPr>
        <sz val="11"/>
        <rFont val="맑은 고딕"/>
        <family val="3"/>
        <charset val="1"/>
      </rPr>
      <t xml:space="preserve">MEAL_SKIPPED </t>
    </r>
    <r>
      <rPr>
        <sz val="11"/>
        <rFont val="DejaVu Sans"/>
        <family val="2"/>
      </rPr>
      <t>판정</t>
    </r>
  </si>
  <si>
    <t>기준값</t>
  </si>
  <si>
    <t>관측시각</t>
  </si>
  <si>
    <t>판정</t>
  </si>
  <si>
    <t>usual_meal_time=08:00 / DELAY_HOURS=2</t>
  </si>
  <si>
    <t>2026-03-30 08:30</t>
  </si>
  <si>
    <t>정상</t>
  </si>
  <si>
    <r>
      <rPr>
        <sz val="11"/>
        <rFont val="맑은 고딕"/>
        <family val="3"/>
        <charset val="1"/>
      </rPr>
      <t>08:00 + 2</t>
    </r>
    <r>
      <rPr>
        <sz val="11"/>
        <rFont val="DejaVu Sans"/>
        <family val="2"/>
      </rPr>
      <t xml:space="preserve">시간 </t>
    </r>
    <r>
      <rPr>
        <sz val="11"/>
        <rFont val="맑은 고딕"/>
        <family val="3"/>
        <charset val="1"/>
      </rPr>
      <t xml:space="preserve">= 10:00 </t>
    </r>
    <r>
      <rPr>
        <sz val="11"/>
        <rFont val="DejaVu Sans"/>
        <family val="2"/>
      </rPr>
      <t>전이므로 아직 이벤트 아님</t>
    </r>
  </si>
  <si>
    <t>2026-03-30 10:15</t>
  </si>
  <si>
    <r>
      <rPr>
        <sz val="11"/>
        <rFont val="맑은 고딕"/>
        <family val="3"/>
        <charset val="1"/>
      </rPr>
      <t xml:space="preserve">event_log </t>
    </r>
    <r>
      <rPr>
        <sz val="11"/>
        <rFont val="DejaVu Sans"/>
        <family val="2"/>
      </rPr>
      <t>생성</t>
    </r>
  </si>
  <si>
    <r>
      <rPr>
        <sz val="11"/>
        <rFont val="맑은 고딕"/>
        <family val="3"/>
        <charset val="1"/>
      </rPr>
      <t xml:space="preserve">10:00 </t>
    </r>
    <r>
      <rPr>
        <sz val="11"/>
        <rFont val="DejaVu Sans"/>
        <family val="2"/>
      </rPr>
      <t xml:space="preserve">초과 </t>
    </r>
    <r>
      <rPr>
        <sz val="11"/>
        <rFont val="맑은 고딕"/>
        <family val="3"/>
        <charset val="1"/>
      </rPr>
      <t xml:space="preserve">+ </t>
    </r>
    <r>
      <rPr>
        <sz val="11"/>
        <rFont val="DejaVu Sans"/>
        <family val="2"/>
      </rPr>
      <t xml:space="preserve">미섭취이므로 </t>
    </r>
    <r>
      <rPr>
        <sz val="11"/>
        <rFont val="맑은 고딕"/>
        <family val="3"/>
        <charset val="1"/>
      </rPr>
      <t xml:space="preserve">MEAL_SKIPPED </t>
    </r>
    <r>
      <rPr>
        <sz val="11"/>
        <rFont val="DejaVu Sans"/>
        <family val="2"/>
      </rPr>
      <t>발생</t>
    </r>
  </si>
  <si>
    <t>not null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</si>
</sst>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rgb="FF000000"/>
      <name val="맑은 고딕"/>
      <charset val="1"/>
    </font>
    <font>
      <sz val="10"/>
      <name val="Arial"/>
      <family val="2"/>
    </font>
    <font>
      <sz val="11"/>
      <color theme="1"/>
      <name val="맑은 고딕"/>
      <family val="2"/>
      <charset val="1"/>
    </font>
    <font>
      <sz val="18"/>
      <color rgb="FF000000"/>
      <name val="DejaVu Sans"/>
      <family val="2"/>
    </font>
    <font>
      <sz val="12"/>
      <color rgb="FF000000"/>
      <name val="DejaVu Sans"/>
      <family val="2"/>
    </font>
    <font>
      <sz val="12"/>
      <color rgb="FF000000"/>
      <name val="맑은 고딕"/>
      <family val="3"/>
      <charset val="129"/>
    </font>
    <font>
      <sz val="12"/>
      <color theme="1"/>
      <name val="DejaVu Sans"/>
      <family val="2"/>
    </font>
    <font>
      <sz val="12"/>
      <color theme="1"/>
      <name val="맑은 고딕"/>
      <family val="3"/>
      <charset val="129"/>
    </font>
    <font>
      <sz val="11"/>
      <color rgb="FF000000"/>
      <name val="DejaVu Sans"/>
      <family val="2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</font>
    <font>
      <sz val="11"/>
      <name val="DejaVu Sans"/>
      <family val="2"/>
    </font>
    <font>
      <u/>
      <sz val="11"/>
      <name val="맑은 고딕"/>
      <family val="3"/>
      <charset val="129"/>
    </font>
    <font>
      <sz val="11"/>
      <name val="맑은 고딕"/>
      <family val="3"/>
      <charset val="1"/>
    </font>
    <font>
      <sz val="11"/>
      <color theme="4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Arial Unicode MS"/>
      <family val="2"/>
      <charset val="1"/>
    </font>
    <font>
      <sz val="9"/>
      <color rgb="FF000000"/>
      <name val="Tahoma"/>
      <family val="2"/>
      <charset val="1"/>
    </font>
    <font>
      <sz val="9"/>
      <color rgb="FF000000"/>
      <name val="DejaVu Sans"/>
      <family val="2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rgb="FFC2F0C7"/>
        <bgColor rgb="FFC9EECC"/>
      </patternFill>
    </fill>
    <fill>
      <patternFill patternType="solid">
        <fgColor rgb="FFFFFF00"/>
        <bgColor rgb="FFEEEAC9"/>
      </patternFill>
    </fill>
    <fill>
      <patternFill patternType="solid">
        <fgColor rgb="FFEEC9C9"/>
        <bgColor rgb="FFEED4C9"/>
      </patternFill>
    </fill>
    <fill>
      <patternFill patternType="solid">
        <fgColor rgb="FFEED4C9"/>
        <bgColor rgb="FFEEDFC9"/>
      </patternFill>
    </fill>
    <fill>
      <patternFill patternType="solid">
        <fgColor rgb="FFEEDFC9"/>
        <bgColor rgb="FFEEEAC9"/>
      </patternFill>
    </fill>
    <fill>
      <patternFill patternType="solid">
        <fgColor rgb="FFEEEAC9"/>
        <bgColor rgb="FFE6EEC9"/>
      </patternFill>
    </fill>
    <fill>
      <patternFill patternType="solid">
        <fgColor rgb="FFE6EEC9"/>
        <bgColor rgb="FFEEEAC9"/>
      </patternFill>
    </fill>
    <fill>
      <patternFill patternType="solid">
        <fgColor rgb="FFD0EEC9"/>
        <bgColor rgb="FFC9EECC"/>
      </patternFill>
    </fill>
    <fill>
      <patternFill patternType="solid">
        <fgColor rgb="FFC9EECC"/>
        <bgColor rgb="FFD0EEC9"/>
      </patternFill>
    </fill>
    <fill>
      <patternFill patternType="solid">
        <fgColor rgb="FFC9EED8"/>
        <bgColor rgb="FFC9EEE3"/>
      </patternFill>
    </fill>
    <fill>
      <patternFill patternType="solid">
        <fgColor rgb="FFC9EEE3"/>
        <bgColor rgb="FFC9EEEE"/>
      </patternFill>
    </fill>
    <fill>
      <patternFill patternType="solid">
        <fgColor rgb="FFC9EEEE"/>
        <bgColor rgb="FFC9EEE3"/>
      </patternFill>
    </fill>
    <fill>
      <patternFill patternType="solid">
        <fgColor rgb="FFC9E3EE"/>
        <bgColor rgb="FFC9EEEE"/>
      </patternFill>
    </fill>
    <fill>
      <patternFill patternType="solid">
        <fgColor rgb="FFC9D8EE"/>
        <bgColor rgb="FFC9E3EE"/>
      </patternFill>
    </fill>
    <fill>
      <patternFill patternType="solid">
        <fgColor rgb="FFC9CCEE"/>
        <bgColor rgb="FFD0C9EE"/>
      </patternFill>
    </fill>
    <fill>
      <patternFill patternType="solid">
        <fgColor rgb="FFD0C9EE"/>
        <bgColor rgb="FFC9CCEE"/>
      </patternFill>
    </fill>
    <fill>
      <patternFill patternType="solid">
        <fgColor rgb="FFDBC9EE"/>
        <bgColor rgb="FFD0C9EE"/>
      </patternFill>
    </fill>
    <fill>
      <patternFill patternType="solid">
        <fgColor rgb="FFE6C9EE"/>
        <bgColor rgb="FFEEC9EA"/>
      </patternFill>
    </fill>
    <fill>
      <patternFill patternType="solid">
        <fgColor rgb="FFEEC9EA"/>
        <bgColor rgb="FFE6C9EE"/>
      </patternFill>
    </fill>
    <fill>
      <patternFill patternType="solid">
        <fgColor rgb="FFEBADE4"/>
        <bgColor rgb="FFEEC9EA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/>
  </cellStyleXfs>
  <cellXfs count="10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0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/>
    </xf>
    <xf numFmtId="0" fontId="10" fillId="0" borderId="0" xfId="0" applyFont="1" applyAlignment="1"/>
    <xf numFmtId="0" fontId="10" fillId="0" borderId="0" xfId="0" applyFont="1" applyAlignment="1">
      <alignment vertical="center"/>
    </xf>
    <xf numFmtId="0" fontId="11" fillId="3" borderId="5" xfId="0" applyFont="1" applyFill="1" applyBorder="1" applyAlignment="1"/>
    <xf numFmtId="0" fontId="10" fillId="3" borderId="5" xfId="0" applyFont="1" applyFill="1" applyBorder="1" applyAlignment="1"/>
    <xf numFmtId="0" fontId="10" fillId="4" borderId="5" xfId="0" applyFont="1" applyFill="1" applyBorder="1" applyAlignment="1"/>
    <xf numFmtId="0" fontId="11" fillId="4" borderId="5" xfId="0" applyFont="1" applyFill="1" applyBorder="1" applyAlignment="1"/>
    <xf numFmtId="0" fontId="10" fillId="0" borderId="5" xfId="0" applyFont="1" applyBorder="1" applyAlignment="1"/>
    <xf numFmtId="0" fontId="12" fillId="0" borderId="0" xfId="0" applyFont="1" applyBorder="1" applyAlignment="1"/>
    <xf numFmtId="0" fontId="11" fillId="0" borderId="6" xfId="0" applyFont="1" applyBorder="1" applyAlignment="1"/>
    <xf numFmtId="0" fontId="10" fillId="5" borderId="5" xfId="0" applyFont="1" applyFill="1" applyBorder="1" applyAlignment="1"/>
    <xf numFmtId="0" fontId="11" fillId="5" borderId="5" xfId="0" applyFont="1" applyFill="1" applyBorder="1" applyAlignment="1"/>
    <xf numFmtId="0" fontId="13" fillId="0" borderId="0" xfId="1" applyFont="1" applyBorder="1"/>
    <xf numFmtId="0" fontId="11" fillId="3" borderId="7" xfId="1" applyFont="1" applyFill="1" applyBorder="1"/>
    <xf numFmtId="0" fontId="13" fillId="3" borderId="7" xfId="1" applyFont="1" applyFill="1" applyBorder="1"/>
    <xf numFmtId="0" fontId="13" fillId="0" borderId="0" xfId="1" applyFont="1" applyBorder="1"/>
    <xf numFmtId="0" fontId="13" fillId="4" borderId="5" xfId="1" applyFont="1" applyFill="1" applyBorder="1"/>
    <xf numFmtId="0" fontId="11" fillId="4" borderId="5" xfId="1" applyFont="1" applyFill="1" applyBorder="1"/>
    <xf numFmtId="0" fontId="13" fillId="0" borderId="5" xfId="1" applyFont="1" applyBorder="1"/>
    <xf numFmtId="0" fontId="13" fillId="0" borderId="8" xfId="1" applyFont="1" applyBorder="1"/>
    <xf numFmtId="0" fontId="13" fillId="0" borderId="0" xfId="1" applyFont="1" applyBorder="1" applyAlignment="1">
      <alignment vertical="top" wrapText="1"/>
    </xf>
    <xf numFmtId="0" fontId="11" fillId="0" borderId="0" xfId="1" applyFont="1" applyBorder="1" applyAlignment="1">
      <alignment vertical="top" wrapText="1"/>
    </xf>
    <xf numFmtId="0" fontId="10" fillId="6" borderId="5" xfId="0" applyFont="1" applyFill="1" applyBorder="1" applyAlignment="1"/>
    <xf numFmtId="0" fontId="11" fillId="6" borderId="5" xfId="0" applyFont="1" applyFill="1" applyBorder="1" applyAlignment="1"/>
    <xf numFmtId="0" fontId="14" fillId="0" borderId="5" xfId="0" applyFont="1" applyBorder="1" applyAlignment="1"/>
    <xf numFmtId="0" fontId="8" fillId="3" borderId="5" xfId="0" applyFont="1" applyFill="1" applyBorder="1" applyAlignment="1"/>
    <xf numFmtId="0" fontId="9" fillId="3" borderId="5" xfId="0" applyFont="1" applyFill="1" applyBorder="1" applyAlignment="1"/>
    <xf numFmtId="0" fontId="0" fillId="7" borderId="5" xfId="0" applyFont="1" applyFill="1" applyBorder="1" applyAlignment="1"/>
    <xf numFmtId="0" fontId="8" fillId="7" borderId="5" xfId="0" applyFont="1" applyFill="1" applyBorder="1" applyAlignment="1"/>
    <xf numFmtId="0" fontId="0" fillId="0" borderId="5" xfId="0" applyFont="1" applyBorder="1" applyAlignment="1"/>
    <xf numFmtId="0" fontId="10" fillId="8" borderId="5" xfId="0" applyFont="1" applyFill="1" applyBorder="1" applyAlignment="1"/>
    <xf numFmtId="0" fontId="11" fillId="8" borderId="5" xfId="0" applyFont="1" applyFill="1" applyBorder="1" applyAlignment="1"/>
    <xf numFmtId="0" fontId="16" fillId="0" borderId="0" xfId="0" applyFont="1" applyAlignment="1"/>
    <xf numFmtId="0" fontId="16" fillId="0" borderId="0" xfId="0" applyFont="1" applyBorder="1" applyAlignment="1"/>
    <xf numFmtId="0" fontId="16" fillId="0" borderId="0" xfId="0" applyFont="1" applyBorder="1" applyAlignment="1" applyProtection="1"/>
    <xf numFmtId="0" fontId="16" fillId="0" borderId="0" xfId="0" applyFont="1" applyAlignment="1">
      <alignment vertical="center"/>
    </xf>
    <xf numFmtId="0" fontId="10" fillId="9" borderId="5" xfId="0" applyFont="1" applyFill="1" applyBorder="1" applyAlignment="1"/>
    <xf numFmtId="0" fontId="11" fillId="9" borderId="5" xfId="0" applyFont="1" applyFill="1" applyBorder="1" applyAlignment="1"/>
    <xf numFmtId="0" fontId="10" fillId="10" borderId="5" xfId="0" applyFont="1" applyFill="1" applyBorder="1" applyAlignment="1"/>
    <xf numFmtId="0" fontId="11" fillId="10" borderId="5" xfId="0" applyFont="1" applyFill="1" applyBorder="1" applyAlignment="1"/>
    <xf numFmtId="0" fontId="10" fillId="11" borderId="5" xfId="0" applyFont="1" applyFill="1" applyBorder="1" applyAlignment="1"/>
    <xf numFmtId="0" fontId="11" fillId="11" borderId="5" xfId="0" applyFont="1" applyFill="1" applyBorder="1" applyAlignment="1"/>
    <xf numFmtId="0" fontId="10" fillId="0" borderId="5" xfId="0" applyFont="1" applyBorder="1" applyAlignment="1"/>
    <xf numFmtId="0" fontId="10" fillId="12" borderId="5" xfId="0" applyFont="1" applyFill="1" applyBorder="1" applyAlignment="1"/>
    <xf numFmtId="0" fontId="11" fillId="12" borderId="5" xfId="0" applyFont="1" applyFill="1" applyBorder="1" applyAlignment="1"/>
    <xf numFmtId="0" fontId="10" fillId="0" borderId="0" xfId="0" applyFont="1" applyBorder="1" applyAlignment="1"/>
    <xf numFmtId="0" fontId="10" fillId="0" borderId="0" xfId="0" applyFont="1" applyBorder="1" applyAlignment="1"/>
    <xf numFmtId="0" fontId="11" fillId="3" borderId="7" xfId="0" applyFont="1" applyFill="1" applyBorder="1" applyAlignment="1"/>
    <xf numFmtId="0" fontId="10" fillId="3" borderId="7" xfId="0" applyFont="1" applyFill="1" applyBorder="1" applyAlignment="1"/>
    <xf numFmtId="0" fontId="10" fillId="13" borderId="5" xfId="0" applyFont="1" applyFill="1" applyBorder="1" applyAlignment="1"/>
    <xf numFmtId="0" fontId="11" fillId="13" borderId="5" xfId="0" applyFont="1" applyFill="1" applyBorder="1" applyAlignment="1"/>
    <xf numFmtId="0" fontId="10" fillId="14" borderId="5" xfId="0" applyFont="1" applyFill="1" applyBorder="1" applyAlignment="1"/>
    <xf numFmtId="0" fontId="11" fillId="14" borderId="5" xfId="0" applyFont="1" applyFill="1" applyBorder="1" applyAlignment="1"/>
    <xf numFmtId="0" fontId="10" fillId="15" borderId="5" xfId="0" applyFont="1" applyFill="1" applyBorder="1" applyAlignment="1"/>
    <xf numFmtId="0" fontId="11" fillId="15" borderId="5" xfId="0" applyFont="1" applyFill="1" applyBorder="1" applyAlignment="1"/>
    <xf numFmtId="0" fontId="10" fillId="0" borderId="0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10" fillId="0" borderId="0" xfId="0" applyFont="1" applyBorder="1" applyAlignment="1">
      <alignment wrapText="1"/>
    </xf>
    <xf numFmtId="0" fontId="10" fillId="16" borderId="5" xfId="0" applyFont="1" applyFill="1" applyBorder="1" applyAlignment="1"/>
    <xf numFmtId="0" fontId="11" fillId="16" borderId="5" xfId="0" applyFont="1" applyFill="1" applyBorder="1" applyAlignment="1"/>
    <xf numFmtId="0" fontId="10" fillId="0" borderId="9" xfId="0" applyFont="1" applyBorder="1" applyAlignment="1"/>
    <xf numFmtId="0" fontId="17" fillId="0" borderId="0" xfId="0" applyFont="1" applyAlignment="1">
      <alignment vertical="center"/>
    </xf>
    <xf numFmtId="0" fontId="10" fillId="17" borderId="5" xfId="0" applyFont="1" applyFill="1" applyBorder="1" applyAlignment="1"/>
    <xf numFmtId="0" fontId="11" fillId="17" borderId="5" xfId="0" applyFont="1" applyFill="1" applyBorder="1" applyAlignment="1"/>
    <xf numFmtId="0" fontId="10" fillId="0" borderId="0" xfId="0" applyFont="1" applyBorder="1" applyAlignment="1">
      <alignment horizontal="center"/>
    </xf>
    <xf numFmtId="0" fontId="10" fillId="0" borderId="8" xfId="0" applyFont="1" applyBorder="1" applyAlignment="1"/>
    <xf numFmtId="0" fontId="11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18" borderId="5" xfId="0" applyFont="1" applyFill="1" applyBorder="1" applyAlignment="1"/>
    <xf numFmtId="0" fontId="11" fillId="18" borderId="5" xfId="0" applyFont="1" applyFill="1" applyBorder="1" applyAlignment="1"/>
    <xf numFmtId="0" fontId="10" fillId="19" borderId="5" xfId="0" applyFont="1" applyFill="1" applyBorder="1" applyAlignment="1"/>
    <xf numFmtId="0" fontId="11" fillId="19" borderId="5" xfId="0" applyFont="1" applyFill="1" applyBorder="1" applyAlignment="1"/>
    <xf numFmtId="0" fontId="10" fillId="20" borderId="5" xfId="0" applyFont="1" applyFill="1" applyBorder="1" applyAlignment="1"/>
    <xf numFmtId="0" fontId="11" fillId="20" borderId="5" xfId="0" applyFont="1" applyFill="1" applyBorder="1" applyAlignment="1"/>
    <xf numFmtId="0" fontId="10" fillId="21" borderId="5" xfId="0" applyFont="1" applyFill="1" applyBorder="1" applyAlignment="1"/>
    <xf numFmtId="0" fontId="11" fillId="21" borderId="5" xfId="0" applyFont="1" applyFill="1" applyBorder="1" applyAlignment="1"/>
    <xf numFmtId="0" fontId="2" fillId="0" borderId="0" xfId="2" applyFont="1"/>
    <xf numFmtId="0" fontId="11" fillId="3" borderId="5" xfId="1" applyFont="1" applyFill="1" applyBorder="1"/>
    <xf numFmtId="0" fontId="13" fillId="3" borderId="5" xfId="1" applyFont="1" applyFill="1" applyBorder="1" applyAlignment="1">
      <alignment vertical="center" wrapText="1"/>
    </xf>
    <xf numFmtId="0" fontId="13" fillId="0" borderId="5" xfId="1" applyFont="1" applyBorder="1" applyAlignment="1">
      <alignment vertical="top" wrapText="1"/>
    </xf>
    <xf numFmtId="0" fontId="11" fillId="0" borderId="5" xfId="1" applyFont="1" applyBorder="1" applyAlignment="1">
      <alignment vertical="top" wrapText="1"/>
    </xf>
    <xf numFmtId="0" fontId="11" fillId="3" borderId="5" xfId="1" applyFont="1" applyFill="1" applyBorder="1" applyAlignment="1">
      <alignment vertical="center" wrapText="1"/>
    </xf>
    <xf numFmtId="0" fontId="13" fillId="3" borderId="5" xfId="1" applyFont="1" applyFill="1" applyBorder="1"/>
    <xf numFmtId="0" fontId="13" fillId="0" borderId="5" xfId="1" applyFont="1" applyBorder="1" applyAlignment="1">
      <alignment vertical="top" wrapText="1"/>
    </xf>
    <xf numFmtId="0" fontId="15" fillId="0" borderId="5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</cellXfs>
  <cellStyles count="3">
    <cellStyle name="Normal" xfId="1"/>
    <cellStyle name="표준" xfId="0" builtinId="0"/>
    <cellStyle name="표준 2" xfId="2"/>
  </cellStyles>
  <dxfs count="0"/>
  <tableStyles count="0" defaultTableStyle="TableStyleMedium2" defaultPivotStyle="PivotStyleLight16"/>
  <colors>
    <indexedColors>
      <rgbColor rgb="FF000000"/>
      <rgbColor rgb="FFEEDFC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9EE"/>
      <rgbColor rgb="FF808080"/>
      <rgbColor rgb="FFE6C9EE"/>
      <rgbColor rgb="FF993366"/>
      <rgbColor rgb="FFEEEAC9"/>
      <rgbColor rgb="FFC9EEEE"/>
      <rgbColor rgb="FF660066"/>
      <rgbColor rgb="FFEEC9EA"/>
      <rgbColor rgb="FF0066CC"/>
      <rgbColor rgb="FFC9CCEE"/>
      <rgbColor rgb="FF000080"/>
      <rgbColor rgb="FFFF00FF"/>
      <rgbColor rgb="FFD0EEC9"/>
      <rgbColor rgb="FF00FFFF"/>
      <rgbColor rgb="FF800080"/>
      <rgbColor rgb="FF800000"/>
      <rgbColor rgb="FF008080"/>
      <rgbColor rgb="FF0000FF"/>
      <rgbColor rgb="FF00CCFF"/>
      <rgbColor rgb="FFC9EEE3"/>
      <rgbColor rgb="FFC2F0C7"/>
      <rgbColor rgb="FFE6EEC9"/>
      <rgbColor rgb="FFC9D8EE"/>
      <rgbColor rgb="FFEBADE4"/>
      <rgbColor rgb="FFDBC9EE"/>
      <rgbColor rgb="FFEEC9C9"/>
      <rgbColor rgb="FF3366FF"/>
      <rgbColor rgb="FFC9EED8"/>
      <rgbColor rgb="FFC9EECC"/>
      <rgbColor rgb="FFEED4C9"/>
      <rgbColor rgb="FFFF9900"/>
      <rgbColor rgb="FFFF6600"/>
      <rgbColor rgb="FF6182D6"/>
      <rgbColor rgb="FFC9E3EE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zoomScaleNormal="100" workbookViewId="0">
      <selection activeCell="B25" sqref="B25"/>
    </sheetView>
  </sheetViews>
  <sheetFormatPr defaultColWidth="9" defaultRowHeight="16.5"/>
  <cols>
    <col min="1" max="1" width="23.375" style="1" customWidth="1"/>
    <col min="2" max="2" width="28" style="2" customWidth="1"/>
    <col min="3" max="3" width="77.625" style="2" customWidth="1"/>
  </cols>
  <sheetData>
    <row r="1" spans="1:3" ht="27" customHeight="1">
      <c r="A1" s="3" t="s">
        <v>0</v>
      </c>
      <c r="B1" s="4"/>
      <c r="C1" s="5"/>
    </row>
    <row r="2" spans="1:3" ht="17.25" customHeight="1">
      <c r="A2" s="6" t="s">
        <v>1</v>
      </c>
      <c r="B2" s="6" t="s">
        <v>2</v>
      </c>
      <c r="C2" s="6" t="s">
        <v>3</v>
      </c>
    </row>
    <row r="3" spans="1:3" ht="17.25" customHeight="1">
      <c r="A3" s="7">
        <v>1</v>
      </c>
      <c r="B3" s="8" t="s">
        <v>4</v>
      </c>
      <c r="C3" s="9" t="s">
        <v>5</v>
      </c>
    </row>
    <row r="4" spans="1:3" ht="17.25">
      <c r="A4" s="7">
        <v>2</v>
      </c>
      <c r="B4" s="8" t="s">
        <v>6</v>
      </c>
      <c r="C4" s="9" t="s">
        <v>7</v>
      </c>
    </row>
    <row r="5" spans="1:3" ht="17.25" customHeight="1">
      <c r="A5" s="7">
        <v>3</v>
      </c>
      <c r="B5" s="8" t="s">
        <v>8</v>
      </c>
      <c r="C5" s="9" t="s">
        <v>9</v>
      </c>
    </row>
    <row r="6" spans="1:3" ht="17.25" customHeight="1">
      <c r="A6" s="7">
        <v>4</v>
      </c>
      <c r="B6" s="8" t="s">
        <v>10</v>
      </c>
      <c r="C6" s="9" t="s">
        <v>11</v>
      </c>
    </row>
    <row r="7" spans="1:3" ht="17.25" customHeight="1">
      <c r="A7" s="7">
        <v>5</v>
      </c>
      <c r="B7" s="8" t="s">
        <v>12</v>
      </c>
      <c r="C7" s="9" t="s">
        <v>13</v>
      </c>
    </row>
    <row r="8" spans="1:3" ht="17.25" customHeight="1">
      <c r="A8" s="7">
        <v>6</v>
      </c>
      <c r="B8" s="8" t="s">
        <v>14</v>
      </c>
      <c r="C8" s="9" t="s">
        <v>15</v>
      </c>
    </row>
    <row r="9" spans="1:3" ht="17.25" customHeight="1">
      <c r="A9" s="7">
        <v>7</v>
      </c>
      <c r="B9" s="8" t="s">
        <v>16</v>
      </c>
      <c r="C9" s="9" t="s">
        <v>17</v>
      </c>
    </row>
    <row r="10" spans="1:3" ht="17.25" customHeight="1">
      <c r="A10" s="7">
        <v>8</v>
      </c>
      <c r="B10" s="8" t="s">
        <v>18</v>
      </c>
      <c r="C10" s="9" t="s">
        <v>19</v>
      </c>
    </row>
    <row r="11" spans="1:3" ht="17.25" customHeight="1">
      <c r="A11" s="7">
        <v>9</v>
      </c>
      <c r="B11" s="8" t="s">
        <v>20</v>
      </c>
      <c r="C11" s="9" t="s">
        <v>21</v>
      </c>
    </row>
    <row r="12" spans="1:3" ht="17.25" customHeight="1">
      <c r="A12" s="7">
        <v>10</v>
      </c>
      <c r="B12" s="8" t="s">
        <v>22</v>
      </c>
      <c r="C12" s="9" t="s">
        <v>23</v>
      </c>
    </row>
    <row r="13" spans="1:3" ht="17.25" customHeight="1">
      <c r="A13" s="7">
        <v>11</v>
      </c>
      <c r="B13" s="8" t="s">
        <v>24</v>
      </c>
      <c r="C13" s="10" t="s">
        <v>25</v>
      </c>
    </row>
    <row r="14" spans="1:3" ht="17.25">
      <c r="A14" s="7">
        <v>12</v>
      </c>
      <c r="B14" s="11" t="s">
        <v>26</v>
      </c>
      <c r="C14" s="12" t="s">
        <v>27</v>
      </c>
    </row>
    <row r="15" spans="1:3" ht="46.5">
      <c r="A15" s="7">
        <v>13</v>
      </c>
      <c r="B15" s="11" t="s">
        <v>28</v>
      </c>
      <c r="C15" s="13" t="s">
        <v>29</v>
      </c>
    </row>
    <row r="16" spans="1:3" ht="17.25">
      <c r="A16" s="7">
        <v>14</v>
      </c>
      <c r="B16" s="14" t="s">
        <v>30</v>
      </c>
      <c r="C16" s="13"/>
    </row>
    <row r="17" spans="1:3" ht="17.25">
      <c r="A17" s="7">
        <v>15</v>
      </c>
      <c r="B17" s="11" t="s">
        <v>31</v>
      </c>
      <c r="C17" s="12" t="s">
        <v>32</v>
      </c>
    </row>
    <row r="18" spans="1:3" ht="17.25">
      <c r="A18" s="7">
        <v>16</v>
      </c>
      <c r="B18" s="14" t="s">
        <v>33</v>
      </c>
      <c r="C18" s="12"/>
    </row>
    <row r="19" spans="1:3" ht="17.25">
      <c r="A19" s="7">
        <v>17</v>
      </c>
      <c r="B19" s="11" t="s">
        <v>34</v>
      </c>
      <c r="C19" s="12" t="s">
        <v>35</v>
      </c>
    </row>
    <row r="20" spans="1:3" ht="17.25">
      <c r="A20" s="7">
        <v>18</v>
      </c>
      <c r="B20" s="11" t="s">
        <v>36</v>
      </c>
      <c r="C20" s="12" t="s">
        <v>37</v>
      </c>
    </row>
    <row r="21" spans="1:3" ht="17.25">
      <c r="A21" s="7">
        <v>19</v>
      </c>
      <c r="B21" s="11" t="s">
        <v>38</v>
      </c>
      <c r="C21" s="12" t="s">
        <v>39</v>
      </c>
    </row>
    <row r="22" spans="1:3" ht="17.25">
      <c r="A22" s="7">
        <v>20</v>
      </c>
      <c r="B22" s="11" t="s">
        <v>40</v>
      </c>
      <c r="C22" s="12" t="s">
        <v>41</v>
      </c>
    </row>
    <row r="23" spans="1:3" ht="17.25">
      <c r="A23" s="7">
        <v>21</v>
      </c>
      <c r="B23" s="11" t="s">
        <v>42</v>
      </c>
      <c r="C23" s="12" t="s">
        <v>43</v>
      </c>
    </row>
    <row r="24" spans="1:3" ht="17.25">
      <c r="A24" s="7">
        <v>22</v>
      </c>
      <c r="B24" s="11" t="s">
        <v>44</v>
      </c>
      <c r="C24" s="12" t="s">
        <v>45</v>
      </c>
    </row>
  </sheetData>
  <phoneticPr fontId="2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Z185"/>
  <sheetViews>
    <sheetView tabSelected="1" topLeftCell="A115" zoomScaleNormal="100" zoomScalePageLayoutView="90" workbookViewId="0">
      <selection activeCell="D124" sqref="D124"/>
    </sheetView>
  </sheetViews>
  <sheetFormatPr defaultColWidth="9" defaultRowHeight="16.5" customHeight="1"/>
  <cols>
    <col min="1" max="1" width="4.875" style="15" customWidth="1"/>
    <col min="2" max="2" width="18" style="15" customWidth="1"/>
    <col min="3" max="3" width="22.5" style="15" customWidth="1"/>
    <col min="4" max="4" width="20" style="15" customWidth="1"/>
    <col min="5" max="5" width="26.75" style="15" customWidth="1"/>
    <col min="6" max="6" width="39.75" style="15" customWidth="1"/>
    <col min="7" max="7" width="33.375" style="15" customWidth="1"/>
    <col min="8" max="8" width="27.5" style="15" customWidth="1"/>
    <col min="9" max="9" width="22.125" style="15" customWidth="1"/>
    <col min="10" max="10" width="24.25" style="15" customWidth="1"/>
    <col min="11" max="11" width="20.75" style="15" customWidth="1"/>
    <col min="12" max="12" width="16.5" style="15" customWidth="1"/>
    <col min="13" max="13" width="18.625" style="15" customWidth="1"/>
    <col min="14" max="14" width="20.875" style="15" customWidth="1"/>
    <col min="15" max="23" width="16" style="15" customWidth="1"/>
    <col min="24" max="16384" width="9" style="16"/>
  </cols>
  <sheetData>
    <row r="2" spans="1:11">
      <c r="A2" s="15">
        <v>1</v>
      </c>
      <c r="B2" s="17" t="s">
        <v>2</v>
      </c>
      <c r="C2" s="18" t="s">
        <v>4</v>
      </c>
    </row>
    <row r="3" spans="1:11">
      <c r="B3" s="19" t="s">
        <v>46</v>
      </c>
      <c r="C3" s="20" t="s">
        <v>47</v>
      </c>
      <c r="D3" s="20" t="s">
        <v>48</v>
      </c>
      <c r="E3" s="20" t="s">
        <v>49</v>
      </c>
      <c r="F3" s="20" t="s">
        <v>50</v>
      </c>
      <c r="G3" s="20" t="s">
        <v>51</v>
      </c>
      <c r="H3" s="20" t="s">
        <v>52</v>
      </c>
      <c r="I3" s="20" t="s">
        <v>53</v>
      </c>
      <c r="J3" s="20" t="s">
        <v>54</v>
      </c>
      <c r="K3" s="20" t="s">
        <v>55</v>
      </c>
    </row>
    <row r="4" spans="1:11">
      <c r="B4" s="21" t="s">
        <v>56</v>
      </c>
      <c r="C4" s="21" t="s">
        <v>57</v>
      </c>
      <c r="D4" s="21" t="s">
        <v>58</v>
      </c>
      <c r="E4" s="21" t="s">
        <v>59</v>
      </c>
      <c r="F4" s="21" t="s">
        <v>60</v>
      </c>
      <c r="G4" s="21" t="s">
        <v>61</v>
      </c>
      <c r="H4" s="21" t="s">
        <v>62</v>
      </c>
      <c r="I4" s="21" t="s">
        <v>63</v>
      </c>
      <c r="J4" s="21" t="s">
        <v>64</v>
      </c>
      <c r="K4" s="21" t="s">
        <v>65</v>
      </c>
    </row>
    <row r="5" spans="1:11">
      <c r="B5" s="21" t="s">
        <v>66</v>
      </c>
      <c r="C5" s="21" t="s">
        <v>67</v>
      </c>
      <c r="D5" s="21" t="s">
        <v>68</v>
      </c>
      <c r="E5" s="21" t="s">
        <v>67</v>
      </c>
      <c r="F5" s="21" t="s">
        <v>69</v>
      </c>
      <c r="G5" s="21" t="s">
        <v>70</v>
      </c>
      <c r="H5" s="21" t="s">
        <v>71</v>
      </c>
      <c r="I5" s="21" t="s">
        <v>71</v>
      </c>
      <c r="J5" s="21" t="s">
        <v>72</v>
      </c>
      <c r="K5" s="21" t="s">
        <v>72</v>
      </c>
    </row>
    <row r="6" spans="1:11">
      <c r="B6" s="21" t="s">
        <v>46</v>
      </c>
      <c r="C6" s="21"/>
      <c r="D6" s="21"/>
      <c r="E6" s="21"/>
      <c r="F6" s="21"/>
      <c r="G6" s="21"/>
      <c r="H6" s="21"/>
      <c r="I6" s="21"/>
      <c r="J6" s="21" t="s">
        <v>73</v>
      </c>
      <c r="K6" s="21" t="s">
        <v>73</v>
      </c>
    </row>
    <row r="7" spans="1:11">
      <c r="B7" s="21" t="s">
        <v>74</v>
      </c>
      <c r="C7" s="21" t="s">
        <v>75</v>
      </c>
      <c r="D7" s="21"/>
      <c r="E7" s="21"/>
      <c r="F7" s="21" t="s">
        <v>75</v>
      </c>
      <c r="G7" s="21"/>
      <c r="H7" s="21"/>
      <c r="I7" s="21"/>
      <c r="J7" s="21"/>
      <c r="K7" s="21"/>
    </row>
    <row r="8" spans="1:11" ht="16.5" customHeight="1">
      <c r="F8" s="22"/>
      <c r="H8" s="23" t="s">
        <v>76</v>
      </c>
      <c r="I8" s="23" t="s">
        <v>77</v>
      </c>
    </row>
    <row r="10" spans="1:11">
      <c r="A10" s="15">
        <v>2</v>
      </c>
      <c r="B10" s="17" t="s">
        <v>2</v>
      </c>
      <c r="C10" s="18" t="s">
        <v>6</v>
      </c>
    </row>
    <row r="11" spans="1:11">
      <c r="B11" s="19" t="s">
        <v>46</v>
      </c>
      <c r="C11" s="20" t="s">
        <v>50</v>
      </c>
      <c r="D11" s="20" t="s">
        <v>78</v>
      </c>
      <c r="E11" s="20" t="s">
        <v>51</v>
      </c>
      <c r="F11" s="20" t="s">
        <v>79</v>
      </c>
      <c r="G11" s="20" t="s">
        <v>80</v>
      </c>
      <c r="H11" s="20" t="s">
        <v>81</v>
      </c>
      <c r="I11" s="20" t="s">
        <v>54</v>
      </c>
    </row>
    <row r="12" spans="1:11">
      <c r="B12" s="21" t="s">
        <v>56</v>
      </c>
      <c r="C12" s="21" t="s">
        <v>60</v>
      </c>
      <c r="D12" s="21" t="s">
        <v>82</v>
      </c>
      <c r="E12" s="21" t="s">
        <v>83</v>
      </c>
      <c r="F12" s="21" t="s">
        <v>84</v>
      </c>
      <c r="G12" s="21" t="s">
        <v>85</v>
      </c>
      <c r="H12" s="21" t="s">
        <v>86</v>
      </c>
      <c r="I12" s="21" t="s">
        <v>64</v>
      </c>
    </row>
    <row r="13" spans="1:11">
      <c r="B13" s="21" t="s">
        <v>66</v>
      </c>
      <c r="C13" s="21" t="s">
        <v>69</v>
      </c>
      <c r="D13" s="21" t="s">
        <v>87</v>
      </c>
      <c r="E13" s="21" t="s">
        <v>70</v>
      </c>
      <c r="F13" s="21" t="s">
        <v>72</v>
      </c>
      <c r="G13" s="21" t="s">
        <v>72</v>
      </c>
      <c r="H13" s="21" t="s">
        <v>72</v>
      </c>
      <c r="I13" s="21" t="s">
        <v>72</v>
      </c>
    </row>
    <row r="14" spans="1:11">
      <c r="B14" s="21" t="s">
        <v>46</v>
      </c>
      <c r="C14" s="21" t="s">
        <v>73</v>
      </c>
      <c r="D14" s="21" t="s">
        <v>73</v>
      </c>
      <c r="E14" s="21" t="s">
        <v>73</v>
      </c>
      <c r="F14" s="21" t="s">
        <v>73</v>
      </c>
      <c r="G14" s="21" t="s">
        <v>73</v>
      </c>
      <c r="H14" s="21"/>
      <c r="I14" s="21" t="s">
        <v>73</v>
      </c>
    </row>
    <row r="15" spans="1:11">
      <c r="B15" s="21" t="s">
        <v>74</v>
      </c>
      <c r="C15" s="21"/>
      <c r="D15" s="21"/>
      <c r="E15" s="21"/>
      <c r="F15" s="21"/>
      <c r="G15" s="21"/>
      <c r="H15" s="21"/>
      <c r="I15" s="21"/>
    </row>
    <row r="18" spans="1:23">
      <c r="A18" s="15">
        <v>3</v>
      </c>
      <c r="B18" s="17" t="s">
        <v>2</v>
      </c>
      <c r="C18" s="18" t="s">
        <v>8</v>
      </c>
    </row>
    <row r="19" spans="1:23">
      <c r="B19" s="24" t="s">
        <v>46</v>
      </c>
      <c r="C19" s="24" t="s">
        <v>88</v>
      </c>
      <c r="D19" s="25" t="s">
        <v>49</v>
      </c>
      <c r="E19" s="25" t="s">
        <v>89</v>
      </c>
      <c r="F19" s="25" t="s">
        <v>90</v>
      </c>
      <c r="G19" s="25" t="s">
        <v>91</v>
      </c>
      <c r="H19" s="25" t="s">
        <v>92</v>
      </c>
      <c r="I19" s="25" t="s">
        <v>93</v>
      </c>
      <c r="J19" s="25" t="s">
        <v>94</v>
      </c>
      <c r="K19" s="25" t="s">
        <v>54</v>
      </c>
      <c r="L19" s="25" t="s">
        <v>55</v>
      </c>
      <c r="W19" s="16"/>
    </row>
    <row r="20" spans="1:23">
      <c r="B20" s="21" t="s">
        <v>56</v>
      </c>
      <c r="C20" s="21" t="s">
        <v>95</v>
      </c>
      <c r="D20" s="21" t="s">
        <v>96</v>
      </c>
      <c r="E20" s="21" t="s">
        <v>97</v>
      </c>
      <c r="F20" s="21" t="s">
        <v>98</v>
      </c>
      <c r="G20" s="21" t="s">
        <v>99</v>
      </c>
      <c r="H20" s="21" t="s">
        <v>100</v>
      </c>
      <c r="I20" s="21" t="s">
        <v>101</v>
      </c>
      <c r="J20" s="21" t="s">
        <v>102</v>
      </c>
      <c r="K20" s="21" t="s">
        <v>64</v>
      </c>
      <c r="L20" s="21" t="s">
        <v>65</v>
      </c>
      <c r="W20" s="16"/>
    </row>
    <row r="21" spans="1:23">
      <c r="B21" s="21" t="s">
        <v>66</v>
      </c>
      <c r="C21" s="21" t="s">
        <v>66</v>
      </c>
      <c r="D21" s="21" t="s">
        <v>67</v>
      </c>
      <c r="E21" s="21" t="s">
        <v>71</v>
      </c>
      <c r="F21" s="21" t="s">
        <v>67</v>
      </c>
      <c r="G21" s="21" t="s">
        <v>71</v>
      </c>
      <c r="H21" s="21" t="s">
        <v>103</v>
      </c>
      <c r="I21" s="21" t="s">
        <v>104</v>
      </c>
      <c r="J21" s="21" t="s">
        <v>68</v>
      </c>
      <c r="K21" s="21" t="s">
        <v>72</v>
      </c>
      <c r="L21" s="21" t="s">
        <v>72</v>
      </c>
      <c r="W21" s="16"/>
    </row>
    <row r="22" spans="1:23">
      <c r="B22" s="21" t="s">
        <v>46</v>
      </c>
      <c r="C22" s="21" t="s">
        <v>88</v>
      </c>
      <c r="D22" s="21"/>
      <c r="E22" s="21"/>
      <c r="F22" s="21"/>
      <c r="G22" s="21"/>
      <c r="H22" s="21"/>
      <c r="I22" s="21"/>
      <c r="J22" s="21"/>
      <c r="K22" s="21" t="s">
        <v>73</v>
      </c>
      <c r="L22" s="21" t="s">
        <v>73</v>
      </c>
      <c r="W22" s="16"/>
    </row>
    <row r="23" spans="1:23">
      <c r="B23" s="21" t="s">
        <v>74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W23" s="16"/>
    </row>
    <row r="24" spans="1:23" ht="16.5" customHeight="1">
      <c r="C24" s="15" t="s">
        <v>105</v>
      </c>
    </row>
    <row r="27" spans="1:23" ht="16.5" customHeight="1">
      <c r="A27" s="26">
        <v>4</v>
      </c>
      <c r="B27" s="27" t="s">
        <v>2</v>
      </c>
      <c r="C27" s="28" t="s">
        <v>10</v>
      </c>
      <c r="D27" s="26"/>
      <c r="E27" s="26"/>
      <c r="F27" s="26"/>
      <c r="G27" s="26"/>
      <c r="H27" s="26"/>
      <c r="I27" s="26"/>
      <c r="J27" s="26"/>
      <c r="K27" s="26"/>
    </row>
    <row r="28" spans="1:23" ht="16.5" customHeight="1">
      <c r="A28" s="29"/>
      <c r="B28" s="30" t="s">
        <v>46</v>
      </c>
      <c r="C28" s="30" t="s">
        <v>88</v>
      </c>
      <c r="D28" s="31" t="s">
        <v>106</v>
      </c>
      <c r="E28" s="31" t="s">
        <v>107</v>
      </c>
      <c r="F28" s="30" t="s">
        <v>108</v>
      </c>
      <c r="G28" s="31" t="s">
        <v>109</v>
      </c>
      <c r="H28" s="30" t="s">
        <v>110</v>
      </c>
      <c r="I28" s="31" t="s">
        <v>111</v>
      </c>
      <c r="J28" s="31" t="s">
        <v>54</v>
      </c>
      <c r="K28" s="31" t="s">
        <v>55</v>
      </c>
    </row>
    <row r="29" spans="1:23" ht="16.5" customHeight="1">
      <c r="A29" s="26"/>
      <c r="B29" s="32" t="s">
        <v>56</v>
      </c>
      <c r="C29" s="32" t="s">
        <v>112</v>
      </c>
      <c r="D29" s="32" t="s">
        <v>113</v>
      </c>
      <c r="E29" s="32" t="s">
        <v>114</v>
      </c>
      <c r="F29" s="32" t="s">
        <v>115</v>
      </c>
      <c r="G29" s="32" t="s">
        <v>116</v>
      </c>
      <c r="H29" s="32" t="s">
        <v>117</v>
      </c>
      <c r="I29" s="32" t="s">
        <v>118</v>
      </c>
      <c r="J29" s="32" t="s">
        <v>64</v>
      </c>
      <c r="K29" s="32" t="s">
        <v>65</v>
      </c>
    </row>
    <row r="30" spans="1:23" ht="16.5" customHeight="1">
      <c r="A30" s="26"/>
      <c r="B30" s="32" t="s">
        <v>66</v>
      </c>
      <c r="C30" s="32" t="s">
        <v>66</v>
      </c>
      <c r="D30" s="32" t="s">
        <v>104</v>
      </c>
      <c r="E30" s="32" t="s">
        <v>119</v>
      </c>
      <c r="F30" s="32" t="s">
        <v>104</v>
      </c>
      <c r="G30" s="32" t="s">
        <v>119</v>
      </c>
      <c r="H30" s="32" t="s">
        <v>120</v>
      </c>
      <c r="I30" s="32" t="s">
        <v>120</v>
      </c>
      <c r="J30" s="32" t="s">
        <v>72</v>
      </c>
      <c r="K30" s="32" t="s">
        <v>72</v>
      </c>
    </row>
    <row r="31" spans="1:23" ht="16.5" customHeight="1">
      <c r="A31" s="26"/>
      <c r="B31" s="32" t="s">
        <v>46</v>
      </c>
      <c r="C31" s="32" t="s">
        <v>88</v>
      </c>
      <c r="D31" s="32" t="s">
        <v>73</v>
      </c>
      <c r="E31" s="32" t="s">
        <v>73</v>
      </c>
      <c r="F31" s="32" t="s">
        <v>73</v>
      </c>
      <c r="G31" s="32" t="s">
        <v>73</v>
      </c>
      <c r="H31" s="32" t="s">
        <v>73</v>
      </c>
      <c r="I31" s="32" t="s">
        <v>73</v>
      </c>
      <c r="J31" s="32" t="s">
        <v>73</v>
      </c>
      <c r="K31" s="32" t="s">
        <v>73</v>
      </c>
    </row>
    <row r="32" spans="1:23" ht="16.5" customHeight="1">
      <c r="A32" s="26"/>
      <c r="B32" s="32" t="s">
        <v>74</v>
      </c>
      <c r="C32" s="32" t="s">
        <v>75</v>
      </c>
      <c r="D32" s="32"/>
      <c r="E32" s="32"/>
      <c r="F32" s="32"/>
      <c r="G32" s="32"/>
      <c r="H32" s="32"/>
      <c r="I32" s="32"/>
      <c r="J32" s="32"/>
      <c r="K32" s="32"/>
    </row>
    <row r="33" spans="1:26">
      <c r="A33" s="33"/>
      <c r="B33" s="34"/>
      <c r="C33" s="34" t="s">
        <v>121</v>
      </c>
      <c r="D33" s="35" t="s">
        <v>122</v>
      </c>
      <c r="E33" s="35" t="s">
        <v>123</v>
      </c>
      <c r="F33" s="35" t="s">
        <v>124</v>
      </c>
      <c r="G33" s="35" t="s">
        <v>125</v>
      </c>
      <c r="H33" s="35" t="s">
        <v>126</v>
      </c>
      <c r="I33" s="35" t="s">
        <v>127</v>
      </c>
      <c r="J33" s="35"/>
      <c r="K33" s="35"/>
    </row>
    <row r="35" spans="1:26" ht="16.5" customHeight="1">
      <c r="A35" s="15">
        <v>5</v>
      </c>
      <c r="B35" s="17" t="s">
        <v>2</v>
      </c>
      <c r="C35" s="18" t="s">
        <v>12</v>
      </c>
    </row>
    <row r="36" spans="1:26" ht="16.5" customHeight="1">
      <c r="B36" s="36" t="s">
        <v>46</v>
      </c>
      <c r="C36" s="36" t="s">
        <v>88</v>
      </c>
      <c r="D36" s="37" t="s">
        <v>128</v>
      </c>
      <c r="E36" s="37" t="s">
        <v>129</v>
      </c>
      <c r="F36" s="37" t="s">
        <v>130</v>
      </c>
      <c r="G36" s="37" t="s">
        <v>131</v>
      </c>
      <c r="H36" s="37" t="s">
        <v>132</v>
      </c>
      <c r="I36" s="37" t="s">
        <v>133</v>
      </c>
      <c r="J36" s="37" t="s">
        <v>134</v>
      </c>
      <c r="K36" s="37" t="s">
        <v>54</v>
      </c>
      <c r="L36" s="37" t="s">
        <v>55</v>
      </c>
      <c r="X36" s="15"/>
      <c r="Y36" s="15"/>
      <c r="Z36" s="15"/>
    </row>
    <row r="37" spans="1:26">
      <c r="B37" s="21" t="s">
        <v>56</v>
      </c>
      <c r="C37" s="38" t="s">
        <v>95</v>
      </c>
      <c r="D37" s="21" t="s">
        <v>135</v>
      </c>
      <c r="E37" s="21" t="s">
        <v>136</v>
      </c>
      <c r="F37" s="21" t="s">
        <v>137</v>
      </c>
      <c r="G37" s="21" t="s">
        <v>138</v>
      </c>
      <c r="H37" s="21" t="s">
        <v>139</v>
      </c>
      <c r="I37" s="21" t="s">
        <v>140</v>
      </c>
      <c r="J37" s="21" t="s">
        <v>141</v>
      </c>
      <c r="K37" s="21" t="s">
        <v>64</v>
      </c>
      <c r="L37" s="21" t="s">
        <v>65</v>
      </c>
      <c r="X37" s="15"/>
      <c r="Y37" s="15"/>
      <c r="Z37" s="15"/>
    </row>
    <row r="38" spans="1:26">
      <c r="B38" s="21" t="s">
        <v>66</v>
      </c>
      <c r="C38" s="21" t="s">
        <v>66</v>
      </c>
      <c r="D38" s="21" t="s">
        <v>69</v>
      </c>
      <c r="E38" s="21" t="s">
        <v>71</v>
      </c>
      <c r="F38" s="21" t="s">
        <v>67</v>
      </c>
      <c r="G38" s="21" t="s">
        <v>71</v>
      </c>
      <c r="H38" s="21" t="s">
        <v>70</v>
      </c>
      <c r="I38" s="21" t="s">
        <v>70</v>
      </c>
      <c r="J38" s="21" t="s">
        <v>72</v>
      </c>
      <c r="K38" s="21" t="s">
        <v>72</v>
      </c>
      <c r="L38" s="21" t="s">
        <v>72</v>
      </c>
      <c r="X38" s="15"/>
      <c r="Y38" s="15"/>
      <c r="Z38" s="15"/>
    </row>
    <row r="39" spans="1:26">
      <c r="B39" s="21" t="s">
        <v>46</v>
      </c>
      <c r="C39" s="21" t="s">
        <v>88</v>
      </c>
      <c r="D39" s="21" t="s">
        <v>75</v>
      </c>
      <c r="E39" s="21"/>
      <c r="F39" s="21"/>
      <c r="G39" s="21"/>
      <c r="H39" s="21"/>
      <c r="I39" s="21" t="s">
        <v>142</v>
      </c>
      <c r="J39" s="21"/>
      <c r="K39" s="21" t="s">
        <v>73</v>
      </c>
      <c r="L39" s="21" t="s">
        <v>73</v>
      </c>
      <c r="X39" s="15"/>
      <c r="Y39" s="15"/>
      <c r="Z39" s="15"/>
    </row>
    <row r="40" spans="1:26">
      <c r="B40" s="21" t="s">
        <v>74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X40" s="15"/>
      <c r="Y40" s="15"/>
      <c r="Z40" s="15"/>
    </row>
    <row r="43" spans="1:26" ht="16.5" customHeight="1">
      <c r="A43" s="15">
        <v>6</v>
      </c>
      <c r="B43" s="39" t="s">
        <v>2</v>
      </c>
      <c r="C43" s="40" t="s">
        <v>14</v>
      </c>
      <c r="D43" s="2"/>
      <c r="E43" s="2"/>
    </row>
    <row r="44" spans="1:26" ht="16.5" customHeight="1">
      <c r="B44" s="41" t="s">
        <v>46</v>
      </c>
      <c r="C44" s="41" t="s">
        <v>88</v>
      </c>
      <c r="D44" s="41" t="s">
        <v>88</v>
      </c>
      <c r="E44" s="42" t="s">
        <v>54</v>
      </c>
    </row>
    <row r="45" spans="1:26" ht="16.5" customHeight="1">
      <c r="B45" s="43" t="s">
        <v>56</v>
      </c>
      <c r="C45" s="43" t="s">
        <v>112</v>
      </c>
      <c r="D45" s="43" t="s">
        <v>143</v>
      </c>
      <c r="E45" s="43" t="s">
        <v>64</v>
      </c>
    </row>
    <row r="46" spans="1:26" ht="16.5" customHeight="1">
      <c r="B46" s="43" t="s">
        <v>66</v>
      </c>
      <c r="C46" s="43" t="s">
        <v>66</v>
      </c>
      <c r="D46" s="43" t="s">
        <v>66</v>
      </c>
      <c r="E46" s="43" t="s">
        <v>72</v>
      </c>
    </row>
    <row r="47" spans="1:26" ht="16.5" customHeight="1">
      <c r="B47" s="43" t="s">
        <v>46</v>
      </c>
      <c r="C47" s="98" t="s">
        <v>144</v>
      </c>
      <c r="D47" s="98"/>
      <c r="E47" s="43" t="s">
        <v>73</v>
      </c>
    </row>
    <row r="48" spans="1:26" ht="16.5" customHeight="1">
      <c r="B48" s="43" t="s">
        <v>74</v>
      </c>
      <c r="C48" s="43"/>
      <c r="D48" s="43"/>
      <c r="E48" s="43"/>
    </row>
    <row r="50" spans="1:23" ht="16.5" customHeight="1">
      <c r="A50" s="15">
        <v>7</v>
      </c>
      <c r="B50" s="17" t="s">
        <v>2</v>
      </c>
      <c r="C50" s="18" t="s">
        <v>16</v>
      </c>
    </row>
    <row r="51" spans="1:23">
      <c r="B51" s="44" t="s">
        <v>46</v>
      </c>
      <c r="C51" s="44" t="s">
        <v>88</v>
      </c>
      <c r="D51" s="44" t="s">
        <v>88</v>
      </c>
      <c r="E51" s="45" t="s">
        <v>145</v>
      </c>
      <c r="F51" s="45" t="s">
        <v>54</v>
      </c>
      <c r="G51" s="45" t="s">
        <v>55</v>
      </c>
      <c r="J51" s="46"/>
    </row>
    <row r="52" spans="1:23">
      <c r="B52" s="21" t="s">
        <v>56</v>
      </c>
      <c r="C52" s="21" t="s">
        <v>95</v>
      </c>
      <c r="D52" s="21" t="s">
        <v>112</v>
      </c>
      <c r="E52" s="21" t="s">
        <v>146</v>
      </c>
      <c r="F52" s="21" t="s">
        <v>64</v>
      </c>
      <c r="G52" s="21" t="s">
        <v>65</v>
      </c>
      <c r="V52" s="16"/>
      <c r="W52" s="16"/>
    </row>
    <row r="53" spans="1:23">
      <c r="B53" s="21" t="s">
        <v>66</v>
      </c>
      <c r="C53" s="21" t="s">
        <v>66</v>
      </c>
      <c r="D53" s="21" t="s">
        <v>66</v>
      </c>
      <c r="E53" s="21" t="s">
        <v>70</v>
      </c>
      <c r="F53" s="21" t="s">
        <v>72</v>
      </c>
      <c r="G53" s="21" t="s">
        <v>72</v>
      </c>
      <c r="V53" s="16"/>
      <c r="W53" s="16"/>
    </row>
    <row r="54" spans="1:23">
      <c r="B54" s="21" t="s">
        <v>46</v>
      </c>
      <c r="C54" s="21" t="s">
        <v>88</v>
      </c>
      <c r="D54" s="21" t="s">
        <v>88</v>
      </c>
      <c r="E54" s="21" t="s">
        <v>73</v>
      </c>
      <c r="F54" s="21" t="s">
        <v>73</v>
      </c>
      <c r="G54" s="21"/>
      <c r="V54" s="16"/>
      <c r="W54" s="16"/>
    </row>
    <row r="55" spans="1:23">
      <c r="B55" s="21" t="s">
        <v>74</v>
      </c>
      <c r="C55" s="99" t="s">
        <v>147</v>
      </c>
      <c r="D55" s="99"/>
      <c r="E55" s="21"/>
      <c r="F55" s="21"/>
      <c r="G55" s="21"/>
      <c r="V55" s="16"/>
      <c r="W55" s="16"/>
    </row>
    <row r="56" spans="1:23">
      <c r="V56" s="16"/>
      <c r="W56" s="16"/>
    </row>
    <row r="58" spans="1:23" s="49" customFormat="1">
      <c r="A58" s="46"/>
      <c r="B58" s="47"/>
      <c r="C58" s="48"/>
      <c r="D58" s="48"/>
      <c r="E58" s="47"/>
      <c r="F58" s="47"/>
      <c r="G58" s="47"/>
      <c r="H58" s="47"/>
      <c r="I58" s="47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</row>
    <row r="59" spans="1:23">
      <c r="A59" s="26">
        <v>8</v>
      </c>
      <c r="B59" s="27" t="s">
        <v>2</v>
      </c>
      <c r="C59" s="28" t="s">
        <v>18</v>
      </c>
      <c r="D59" s="26"/>
      <c r="E59" s="26"/>
      <c r="F59" s="26"/>
      <c r="G59" s="26"/>
      <c r="H59" s="26"/>
      <c r="I59" s="26"/>
      <c r="J59" s="26"/>
      <c r="K59" s="26"/>
      <c r="L59" s="26"/>
    </row>
    <row r="60" spans="1:23">
      <c r="A60" s="29"/>
      <c r="B60" s="50" t="s">
        <v>46</v>
      </c>
      <c r="C60" s="50" t="s">
        <v>88</v>
      </c>
      <c r="D60" s="50" t="s">
        <v>88</v>
      </c>
      <c r="E60" s="51" t="s">
        <v>148</v>
      </c>
      <c r="F60" s="51" t="s">
        <v>149</v>
      </c>
      <c r="G60" s="51" t="s">
        <v>150</v>
      </c>
      <c r="H60" s="51" t="s">
        <v>151</v>
      </c>
      <c r="I60" s="51" t="s">
        <v>111</v>
      </c>
      <c r="J60" s="51" t="s">
        <v>152</v>
      </c>
      <c r="K60" s="51" t="s">
        <v>54</v>
      </c>
      <c r="L60" s="51" t="s">
        <v>55</v>
      </c>
    </row>
    <row r="61" spans="1:23">
      <c r="A61" s="26"/>
      <c r="B61" s="32" t="s">
        <v>56</v>
      </c>
      <c r="C61" s="32" t="s">
        <v>112</v>
      </c>
      <c r="D61" s="32" t="s">
        <v>153</v>
      </c>
      <c r="E61" s="32" t="s">
        <v>154</v>
      </c>
      <c r="F61" s="32" t="s">
        <v>155</v>
      </c>
      <c r="G61" s="32" t="s">
        <v>156</v>
      </c>
      <c r="H61" s="32" t="s">
        <v>157</v>
      </c>
      <c r="I61" s="32" t="s">
        <v>118</v>
      </c>
      <c r="J61" s="32" t="s">
        <v>158</v>
      </c>
      <c r="K61" s="32" t="s">
        <v>64</v>
      </c>
      <c r="L61" s="32" t="s">
        <v>65</v>
      </c>
    </row>
    <row r="62" spans="1:23">
      <c r="A62" s="26"/>
      <c r="B62" s="32" t="s">
        <v>66</v>
      </c>
      <c r="C62" s="32" t="s">
        <v>66</v>
      </c>
      <c r="D62" s="32" t="s">
        <v>66</v>
      </c>
      <c r="E62" s="32" t="s">
        <v>71</v>
      </c>
      <c r="F62" s="32" t="s">
        <v>71</v>
      </c>
      <c r="G62" s="32" t="s">
        <v>104</v>
      </c>
      <c r="H62" s="32" t="s">
        <v>71</v>
      </c>
      <c r="I62" s="32" t="s">
        <v>120</v>
      </c>
      <c r="J62" s="32" t="s">
        <v>70</v>
      </c>
      <c r="K62" s="32" t="s">
        <v>72</v>
      </c>
      <c r="L62" s="32" t="s">
        <v>72</v>
      </c>
    </row>
    <row r="63" spans="1:23">
      <c r="A63" s="26"/>
      <c r="B63" s="32" t="s">
        <v>46</v>
      </c>
      <c r="C63" s="32" t="s">
        <v>88</v>
      </c>
      <c r="D63" s="32" t="s">
        <v>88</v>
      </c>
      <c r="E63" s="32" t="s">
        <v>73</v>
      </c>
      <c r="F63" s="32" t="s">
        <v>73</v>
      </c>
      <c r="G63" s="32" t="s">
        <v>73</v>
      </c>
      <c r="H63" s="32" t="s">
        <v>73</v>
      </c>
      <c r="I63" s="32"/>
      <c r="J63" s="32" t="s">
        <v>73</v>
      </c>
      <c r="K63" s="32" t="s">
        <v>73</v>
      </c>
      <c r="L63" s="32" t="s">
        <v>73</v>
      </c>
    </row>
    <row r="64" spans="1:23">
      <c r="A64" s="26"/>
      <c r="B64" s="32" t="s">
        <v>74</v>
      </c>
      <c r="C64" s="32"/>
      <c r="D64" s="32" t="s">
        <v>159</v>
      </c>
      <c r="E64" s="32"/>
      <c r="F64" s="32"/>
      <c r="G64" s="32"/>
      <c r="H64" s="32"/>
      <c r="I64" s="32"/>
      <c r="J64" s="32"/>
      <c r="K64" s="32"/>
      <c r="L64" s="32"/>
    </row>
    <row r="65" spans="1:12" ht="16.5" customHeight="1">
      <c r="A65" s="33"/>
      <c r="B65" s="35"/>
      <c r="C65" s="34" t="s">
        <v>121</v>
      </c>
      <c r="D65" s="34" t="s">
        <v>160</v>
      </c>
      <c r="E65" s="35" t="s">
        <v>161</v>
      </c>
      <c r="F65" s="35" t="s">
        <v>162</v>
      </c>
      <c r="G65" s="35" t="s">
        <v>163</v>
      </c>
      <c r="H65" s="35" t="s">
        <v>164</v>
      </c>
      <c r="I65" s="35" t="s">
        <v>165</v>
      </c>
      <c r="J65" s="35" t="s">
        <v>166</v>
      </c>
      <c r="K65" s="35"/>
      <c r="L65" s="35"/>
    </row>
    <row r="66" spans="1:12" ht="16.5" customHeight="1">
      <c r="A66" s="26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</row>
    <row r="67" spans="1:12" ht="16.5" customHeight="1">
      <c r="A67" s="26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</row>
    <row r="68" spans="1:12" ht="16.5" customHeight="1">
      <c r="A68" s="15">
        <v>9</v>
      </c>
      <c r="B68" s="17" t="s">
        <v>2</v>
      </c>
      <c r="C68" s="18" t="s">
        <v>20</v>
      </c>
    </row>
    <row r="69" spans="1:12">
      <c r="B69" s="52" t="s">
        <v>46</v>
      </c>
      <c r="C69" s="52" t="s">
        <v>88</v>
      </c>
      <c r="D69" s="52" t="s">
        <v>88</v>
      </c>
      <c r="E69" s="53" t="s">
        <v>167</v>
      </c>
      <c r="F69" s="53" t="s">
        <v>168</v>
      </c>
      <c r="G69" s="53" t="s">
        <v>169</v>
      </c>
      <c r="H69" s="53" t="s">
        <v>170</v>
      </c>
      <c r="I69" s="53" t="s">
        <v>171</v>
      </c>
      <c r="J69" s="53" t="s">
        <v>172</v>
      </c>
    </row>
    <row r="70" spans="1:12">
      <c r="B70" s="21" t="s">
        <v>56</v>
      </c>
      <c r="C70" s="21" t="s">
        <v>112</v>
      </c>
      <c r="D70" s="21" t="s">
        <v>143</v>
      </c>
      <c r="E70" s="21" t="s">
        <v>173</v>
      </c>
      <c r="F70" s="21" t="s">
        <v>174</v>
      </c>
      <c r="G70" s="21" t="s">
        <v>175</v>
      </c>
      <c r="H70" s="21" t="s">
        <v>176</v>
      </c>
      <c r="I70" s="21" t="s">
        <v>177</v>
      </c>
      <c r="J70" s="21" t="s">
        <v>178</v>
      </c>
    </row>
    <row r="71" spans="1:12">
      <c r="B71" s="21" t="s">
        <v>66</v>
      </c>
      <c r="C71" s="21" t="s">
        <v>66</v>
      </c>
      <c r="D71" s="21" t="s">
        <v>66</v>
      </c>
      <c r="E71" s="21" t="s">
        <v>120</v>
      </c>
      <c r="F71" s="21" t="s">
        <v>104</v>
      </c>
      <c r="G71" s="21" t="s">
        <v>120</v>
      </c>
      <c r="H71" s="21" t="s">
        <v>120</v>
      </c>
      <c r="I71" s="21" t="s">
        <v>71</v>
      </c>
      <c r="J71" s="21" t="s">
        <v>72</v>
      </c>
    </row>
    <row r="72" spans="1:12">
      <c r="B72" s="21" t="s">
        <v>46</v>
      </c>
      <c r="C72" s="21" t="s">
        <v>88</v>
      </c>
      <c r="D72" s="21" t="s">
        <v>88</v>
      </c>
      <c r="E72" s="21"/>
      <c r="F72" s="21"/>
      <c r="G72" s="21"/>
      <c r="H72" s="21"/>
      <c r="I72" s="21"/>
      <c r="J72" s="21" t="s">
        <v>73</v>
      </c>
    </row>
    <row r="73" spans="1:12">
      <c r="B73" s="21" t="s">
        <v>74</v>
      </c>
      <c r="C73" s="21"/>
      <c r="D73" s="21"/>
      <c r="E73" s="21"/>
      <c r="F73" s="21"/>
      <c r="G73" s="21"/>
      <c r="H73" s="21"/>
      <c r="I73" s="21"/>
      <c r="J73" s="21"/>
    </row>
    <row r="76" spans="1:12" ht="16.5" customHeight="1">
      <c r="A76" s="15">
        <v>10</v>
      </c>
      <c r="B76" s="17" t="s">
        <v>2</v>
      </c>
      <c r="C76" s="18" t="s">
        <v>22</v>
      </c>
    </row>
    <row r="77" spans="1:12">
      <c r="B77" s="54" t="s">
        <v>46</v>
      </c>
      <c r="C77" s="54" t="s">
        <v>88</v>
      </c>
      <c r="D77" s="54" t="s">
        <v>88</v>
      </c>
      <c r="E77" s="55" t="s">
        <v>179</v>
      </c>
      <c r="F77" s="55" t="s">
        <v>180</v>
      </c>
      <c r="G77" s="55" t="s">
        <v>181</v>
      </c>
      <c r="H77" s="55" t="s">
        <v>182</v>
      </c>
      <c r="I77" s="55" t="s">
        <v>183</v>
      </c>
      <c r="J77" s="55" t="s">
        <v>172</v>
      </c>
    </row>
    <row r="78" spans="1:12">
      <c r="B78" s="21" t="s">
        <v>56</v>
      </c>
      <c r="C78" s="21" t="s">
        <v>112</v>
      </c>
      <c r="D78" s="21" t="s">
        <v>143</v>
      </c>
      <c r="E78" s="21" t="s">
        <v>184</v>
      </c>
      <c r="F78" s="21" t="s">
        <v>185</v>
      </c>
      <c r="G78" s="21" t="s">
        <v>186</v>
      </c>
      <c r="H78" s="21" t="s">
        <v>187</v>
      </c>
      <c r="I78" s="21" t="s">
        <v>188</v>
      </c>
      <c r="J78" s="21" t="s">
        <v>178</v>
      </c>
    </row>
    <row r="79" spans="1:12">
      <c r="B79" s="21" t="s">
        <v>66</v>
      </c>
      <c r="C79" s="21" t="s">
        <v>66</v>
      </c>
      <c r="D79" s="21" t="s">
        <v>66</v>
      </c>
      <c r="E79" s="21" t="s">
        <v>104</v>
      </c>
      <c r="F79" s="56" t="s">
        <v>189</v>
      </c>
      <c r="G79" s="21" t="s">
        <v>70</v>
      </c>
      <c r="H79" s="21" t="s">
        <v>70</v>
      </c>
      <c r="I79" s="21" t="s">
        <v>72</v>
      </c>
      <c r="J79" s="21" t="s">
        <v>72</v>
      </c>
    </row>
    <row r="80" spans="1:12">
      <c r="B80" s="21" t="s">
        <v>46</v>
      </c>
      <c r="C80" s="21" t="s">
        <v>88</v>
      </c>
      <c r="D80" s="21" t="s">
        <v>88</v>
      </c>
      <c r="E80" s="21"/>
      <c r="F80" s="21"/>
      <c r="G80" s="21"/>
      <c r="H80" s="21"/>
      <c r="I80" s="21"/>
      <c r="J80" s="21" t="s">
        <v>73</v>
      </c>
    </row>
    <row r="81" spans="1:23">
      <c r="B81" s="21" t="s">
        <v>74</v>
      </c>
      <c r="C81" s="21"/>
      <c r="D81" s="21"/>
      <c r="E81" s="21"/>
      <c r="F81" s="21"/>
      <c r="G81" s="21"/>
      <c r="H81" s="21"/>
      <c r="I81" s="21"/>
      <c r="J81" s="21"/>
    </row>
    <row r="84" spans="1:23" ht="16.5" customHeight="1">
      <c r="A84" s="15">
        <v>11</v>
      </c>
      <c r="B84" s="17" t="s">
        <v>2</v>
      </c>
      <c r="C84" s="18" t="s">
        <v>24</v>
      </c>
    </row>
    <row r="85" spans="1:23">
      <c r="B85" s="57" t="s">
        <v>46</v>
      </c>
      <c r="C85" s="57" t="s">
        <v>88</v>
      </c>
      <c r="D85" s="57" t="s">
        <v>88</v>
      </c>
      <c r="E85" s="58" t="s">
        <v>190</v>
      </c>
      <c r="F85" s="58" t="s">
        <v>191</v>
      </c>
      <c r="G85" s="58" t="s">
        <v>172</v>
      </c>
      <c r="L85" s="59"/>
      <c r="M85" s="59"/>
    </row>
    <row r="86" spans="1:23">
      <c r="B86" s="21" t="s">
        <v>56</v>
      </c>
      <c r="C86" s="21" t="s">
        <v>112</v>
      </c>
      <c r="D86" s="21" t="s">
        <v>143</v>
      </c>
      <c r="E86" s="21" t="s">
        <v>192</v>
      </c>
      <c r="F86" s="21" t="s">
        <v>193</v>
      </c>
      <c r="G86" s="21" t="s">
        <v>178</v>
      </c>
      <c r="S86" s="16"/>
      <c r="T86" s="16"/>
      <c r="U86" s="16"/>
      <c r="V86" s="16"/>
      <c r="W86" s="16"/>
    </row>
    <row r="87" spans="1:23">
      <c r="B87" s="21" t="s">
        <v>66</v>
      </c>
      <c r="C87" s="21" t="s">
        <v>66</v>
      </c>
      <c r="D87" s="21" t="s">
        <v>66</v>
      </c>
      <c r="E87" s="21" t="s">
        <v>104</v>
      </c>
      <c r="F87" s="21" t="s">
        <v>70</v>
      </c>
      <c r="G87" s="21" t="s">
        <v>72</v>
      </c>
      <c r="S87" s="16"/>
      <c r="T87" s="16"/>
      <c r="U87" s="16"/>
      <c r="V87" s="16"/>
      <c r="W87" s="16"/>
    </row>
    <row r="88" spans="1:23">
      <c r="B88" s="21" t="s">
        <v>46</v>
      </c>
      <c r="C88" s="21" t="s">
        <v>88</v>
      </c>
      <c r="D88" s="21" t="s">
        <v>88</v>
      </c>
      <c r="E88" s="21"/>
      <c r="F88" s="21"/>
      <c r="G88" s="21" t="s">
        <v>73</v>
      </c>
      <c r="S88" s="16"/>
      <c r="T88" s="16"/>
      <c r="U88" s="16"/>
      <c r="V88" s="16"/>
      <c r="W88" s="16"/>
    </row>
    <row r="89" spans="1:23">
      <c r="B89" s="21" t="s">
        <v>74</v>
      </c>
      <c r="C89" s="21"/>
      <c r="D89" s="21"/>
      <c r="E89" s="21"/>
      <c r="F89" s="21"/>
      <c r="G89" s="21"/>
      <c r="S89" s="16"/>
      <c r="T89" s="16"/>
      <c r="U89" s="16"/>
      <c r="V89" s="16"/>
      <c r="W89" s="16"/>
    </row>
    <row r="90" spans="1:23">
      <c r="S90" s="16"/>
      <c r="T90" s="16"/>
      <c r="U90" s="16"/>
      <c r="V90" s="16"/>
      <c r="W90" s="16"/>
    </row>
    <row r="91" spans="1:23">
      <c r="L91" s="60"/>
      <c r="M91" s="60"/>
    </row>
    <row r="92" spans="1:23">
      <c r="A92" s="15">
        <v>12</v>
      </c>
      <c r="B92" s="61" t="s">
        <v>2</v>
      </c>
      <c r="C92" s="62" t="s">
        <v>26</v>
      </c>
      <c r="D92" s="59"/>
      <c r="E92" s="59"/>
      <c r="F92" s="59"/>
      <c r="G92" s="59"/>
      <c r="H92" s="59"/>
      <c r="I92" s="59"/>
      <c r="J92" s="59"/>
      <c r="K92" s="59"/>
      <c r="L92" s="60"/>
      <c r="M92" s="60"/>
    </row>
    <row r="93" spans="1:23">
      <c r="B93" s="63" t="s">
        <v>46</v>
      </c>
      <c r="C93" s="63" t="s">
        <v>88</v>
      </c>
      <c r="D93" s="63" t="s">
        <v>88</v>
      </c>
      <c r="E93" s="64" t="s">
        <v>194</v>
      </c>
      <c r="F93" s="64" t="s">
        <v>195</v>
      </c>
      <c r="G93" s="64" t="s">
        <v>196</v>
      </c>
      <c r="H93" s="64" t="s">
        <v>197</v>
      </c>
      <c r="L93" s="59"/>
      <c r="M93" s="59"/>
    </row>
    <row r="94" spans="1:23">
      <c r="B94" s="21" t="s">
        <v>56</v>
      </c>
      <c r="C94" s="21" t="s">
        <v>112</v>
      </c>
      <c r="D94" s="21" t="s">
        <v>143</v>
      </c>
      <c r="E94" s="21" t="s">
        <v>198</v>
      </c>
      <c r="F94" s="21" t="s">
        <v>199</v>
      </c>
      <c r="G94" s="21" t="s">
        <v>200</v>
      </c>
      <c r="H94" s="21" t="s">
        <v>201</v>
      </c>
      <c r="S94" s="16"/>
      <c r="T94" s="16"/>
      <c r="U94" s="16"/>
      <c r="V94" s="16"/>
      <c r="W94" s="16"/>
    </row>
    <row r="95" spans="1:23">
      <c r="B95" s="21" t="s">
        <v>66</v>
      </c>
      <c r="C95" s="21" t="s">
        <v>66</v>
      </c>
      <c r="D95" s="21" t="s">
        <v>66</v>
      </c>
      <c r="E95" s="21" t="s">
        <v>71</v>
      </c>
      <c r="F95" s="21" t="s">
        <v>71</v>
      </c>
      <c r="G95" s="21" t="s">
        <v>104</v>
      </c>
      <c r="H95" s="21" t="s">
        <v>72</v>
      </c>
      <c r="S95" s="16"/>
      <c r="T95" s="16"/>
      <c r="U95" s="16"/>
      <c r="V95" s="16"/>
      <c r="W95" s="16"/>
    </row>
    <row r="96" spans="1:23">
      <c r="B96" s="21" t="s">
        <v>46</v>
      </c>
      <c r="C96" s="21" t="s">
        <v>88</v>
      </c>
      <c r="D96" s="21" t="s">
        <v>88</v>
      </c>
      <c r="E96" s="21"/>
      <c r="F96" s="21"/>
      <c r="G96" s="21"/>
      <c r="H96" s="21" t="s">
        <v>73</v>
      </c>
      <c r="S96" s="16"/>
      <c r="T96" s="16"/>
      <c r="U96" s="16"/>
      <c r="V96" s="16"/>
      <c r="W96" s="16"/>
    </row>
    <row r="97" spans="1:23">
      <c r="B97" s="21" t="s">
        <v>74</v>
      </c>
      <c r="C97" s="21"/>
      <c r="D97" s="21"/>
      <c r="E97" s="21"/>
      <c r="F97" s="21"/>
      <c r="G97" s="21"/>
      <c r="H97" s="21"/>
      <c r="S97" s="16"/>
      <c r="T97" s="16"/>
      <c r="U97" s="16"/>
      <c r="V97" s="16"/>
      <c r="W97" s="16"/>
    </row>
    <row r="98" spans="1:23">
      <c r="B98" s="60"/>
      <c r="C98" s="60"/>
      <c r="D98" s="60"/>
      <c r="E98" s="60"/>
      <c r="F98" s="60"/>
      <c r="G98" s="60"/>
      <c r="H98" s="60"/>
      <c r="I98" s="60"/>
      <c r="J98" s="60"/>
      <c r="K98" s="60"/>
      <c r="S98" s="16"/>
      <c r="T98" s="16"/>
      <c r="U98" s="16"/>
      <c r="V98" s="16"/>
      <c r="W98" s="16"/>
    </row>
    <row r="99" spans="1:23"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</row>
    <row r="100" spans="1:23" ht="16.5" customHeight="1">
      <c r="A100" s="15">
        <v>13</v>
      </c>
      <c r="B100" s="17" t="s">
        <v>2</v>
      </c>
      <c r="C100" s="18" t="s">
        <v>30</v>
      </c>
      <c r="D100" s="59"/>
      <c r="E100" s="59"/>
      <c r="F100" s="59"/>
      <c r="G100" s="59"/>
      <c r="H100" s="59"/>
      <c r="I100" s="59"/>
      <c r="J100" s="59"/>
      <c r="K100" s="59"/>
    </row>
    <row r="101" spans="1:23" ht="16.5" customHeight="1">
      <c r="B101" s="63" t="s">
        <v>46</v>
      </c>
      <c r="C101" s="63" t="s">
        <v>88</v>
      </c>
      <c r="D101" s="64" t="s">
        <v>202</v>
      </c>
      <c r="E101" s="64" t="s">
        <v>203</v>
      </c>
      <c r="F101" s="64" t="s">
        <v>204</v>
      </c>
      <c r="G101" s="64" t="s">
        <v>205</v>
      </c>
      <c r="H101" s="64" t="s">
        <v>206</v>
      </c>
    </row>
    <row r="102" spans="1:23">
      <c r="B102" s="21" t="s">
        <v>56</v>
      </c>
      <c r="C102" s="21" t="s">
        <v>207</v>
      </c>
      <c r="D102" s="21" t="s">
        <v>208</v>
      </c>
      <c r="E102" s="21" t="s">
        <v>209</v>
      </c>
      <c r="F102" s="21" t="s">
        <v>210</v>
      </c>
      <c r="G102" s="21" t="s">
        <v>211</v>
      </c>
      <c r="H102" s="21" t="s">
        <v>212</v>
      </c>
      <c r="L102" s="59"/>
      <c r="M102" s="59"/>
      <c r="N102" s="59"/>
      <c r="O102" s="59"/>
      <c r="P102" s="59"/>
      <c r="Q102" s="59"/>
      <c r="R102" s="59"/>
      <c r="S102" s="59"/>
    </row>
    <row r="103" spans="1:23">
      <c r="B103" s="21" t="s">
        <v>66</v>
      </c>
      <c r="C103" s="21" t="s">
        <v>66</v>
      </c>
      <c r="D103" s="21" t="s">
        <v>120</v>
      </c>
      <c r="E103" s="21" t="s">
        <v>120</v>
      </c>
      <c r="F103" s="21" t="s">
        <v>70</v>
      </c>
      <c r="G103" s="21" t="s">
        <v>70</v>
      </c>
      <c r="H103" s="21" t="s">
        <v>189</v>
      </c>
    </row>
    <row r="104" spans="1:23">
      <c r="B104" s="21" t="s">
        <v>46</v>
      </c>
      <c r="C104" s="21" t="s">
        <v>88</v>
      </c>
      <c r="D104" s="21" t="s">
        <v>213</v>
      </c>
      <c r="E104" s="21" t="s">
        <v>213</v>
      </c>
      <c r="F104" s="21" t="s">
        <v>214</v>
      </c>
      <c r="G104" s="21" t="s">
        <v>214</v>
      </c>
      <c r="H104" s="21" t="s">
        <v>215</v>
      </c>
    </row>
    <row r="105" spans="1:23">
      <c r="B105" s="21" t="s">
        <v>74</v>
      </c>
      <c r="C105" s="21"/>
      <c r="D105" s="21"/>
      <c r="E105" s="21"/>
      <c r="F105" s="21"/>
      <c r="G105" s="21"/>
      <c r="H105" s="21"/>
    </row>
    <row r="106" spans="1:23">
      <c r="B106" s="60"/>
      <c r="C106" s="60"/>
      <c r="D106" s="60"/>
      <c r="E106" s="60"/>
      <c r="F106" s="60"/>
      <c r="G106" s="60"/>
      <c r="H106" s="60"/>
      <c r="I106" s="60"/>
      <c r="J106" s="60"/>
      <c r="K106" s="60"/>
    </row>
    <row r="108" spans="1:23">
      <c r="L108" s="60"/>
      <c r="M108" s="60"/>
      <c r="N108" s="60"/>
      <c r="O108" s="60"/>
    </row>
    <row r="109" spans="1:23" ht="16.5" customHeight="1">
      <c r="A109" s="15">
        <v>14</v>
      </c>
      <c r="B109" s="17" t="s">
        <v>2</v>
      </c>
      <c r="C109" s="18" t="s">
        <v>28</v>
      </c>
      <c r="D109" s="59"/>
      <c r="E109" s="59"/>
      <c r="F109" s="59"/>
      <c r="G109" s="59"/>
      <c r="H109" s="59"/>
      <c r="I109" s="59"/>
      <c r="J109" s="59"/>
      <c r="K109" s="59"/>
    </row>
    <row r="110" spans="1:23" ht="16.5" customHeight="1">
      <c r="B110" s="65" t="s">
        <v>46</v>
      </c>
      <c r="C110" s="65" t="s">
        <v>88</v>
      </c>
      <c r="D110" s="66" t="s">
        <v>167</v>
      </c>
      <c r="E110" s="66" t="s">
        <v>168</v>
      </c>
      <c r="F110" s="66" t="s">
        <v>169</v>
      </c>
      <c r="G110" s="66" t="s">
        <v>170</v>
      </c>
      <c r="H110" s="66" t="s">
        <v>171</v>
      </c>
      <c r="I110" s="66" t="s">
        <v>182</v>
      </c>
      <c r="J110" s="66" t="s">
        <v>216</v>
      </c>
      <c r="K110" s="66" t="s">
        <v>206</v>
      </c>
      <c r="L110" s="66" t="s">
        <v>217</v>
      </c>
      <c r="M110" s="66" t="s">
        <v>218</v>
      </c>
      <c r="N110" s="66" t="s">
        <v>172</v>
      </c>
      <c r="O110" s="66" t="s">
        <v>219</v>
      </c>
    </row>
    <row r="111" spans="1:23">
      <c r="B111" s="21" t="s">
        <v>56</v>
      </c>
      <c r="C111" s="21" t="s">
        <v>112</v>
      </c>
      <c r="D111" s="21" t="s">
        <v>173</v>
      </c>
      <c r="E111" s="21" t="s">
        <v>174</v>
      </c>
      <c r="F111" s="21" t="s">
        <v>175</v>
      </c>
      <c r="G111" s="21" t="s">
        <v>176</v>
      </c>
      <c r="H111" s="21" t="s">
        <v>177</v>
      </c>
      <c r="I111" s="21" t="s">
        <v>187</v>
      </c>
      <c r="J111" s="21" t="s">
        <v>220</v>
      </c>
      <c r="K111" s="21" t="s">
        <v>212</v>
      </c>
      <c r="L111" s="21" t="s">
        <v>221</v>
      </c>
      <c r="M111" s="21" t="s">
        <v>222</v>
      </c>
      <c r="N111" s="21" t="s">
        <v>178</v>
      </c>
      <c r="O111" s="21" t="s">
        <v>223</v>
      </c>
    </row>
    <row r="112" spans="1:23">
      <c r="B112" s="21" t="s">
        <v>66</v>
      </c>
      <c r="C112" s="21" t="s">
        <v>66</v>
      </c>
      <c r="D112" s="21" t="s">
        <v>120</v>
      </c>
      <c r="E112" s="21" t="s">
        <v>104</v>
      </c>
      <c r="F112" s="21" t="s">
        <v>120</v>
      </c>
      <c r="G112" s="21" t="s">
        <v>120</v>
      </c>
      <c r="H112" s="21" t="s">
        <v>71</v>
      </c>
      <c r="I112" s="21" t="s">
        <v>70</v>
      </c>
      <c r="J112" s="21" t="s">
        <v>104</v>
      </c>
      <c r="K112" s="21" t="s">
        <v>71</v>
      </c>
      <c r="L112" s="21" t="s">
        <v>71</v>
      </c>
      <c r="M112" s="21" t="s">
        <v>71</v>
      </c>
      <c r="N112" s="21" t="s">
        <v>72</v>
      </c>
      <c r="O112" s="21" t="s">
        <v>70</v>
      </c>
      <c r="U112" s="16"/>
      <c r="V112" s="16"/>
      <c r="W112" s="16"/>
    </row>
    <row r="113" spans="1:23">
      <c r="B113" s="21" t="s">
        <v>46</v>
      </c>
      <c r="C113" s="21" t="s">
        <v>88</v>
      </c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 t="s">
        <v>73</v>
      </c>
      <c r="O113" s="21" t="s">
        <v>73</v>
      </c>
      <c r="U113" s="16"/>
      <c r="V113" s="16"/>
      <c r="W113" s="16"/>
    </row>
    <row r="114" spans="1:23">
      <c r="B114" s="21" t="s">
        <v>74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U114" s="16"/>
      <c r="V114" s="16"/>
      <c r="W114" s="16"/>
    </row>
    <row r="115" spans="1:23">
      <c r="B115" s="60"/>
      <c r="C115" s="59"/>
      <c r="D115" s="60"/>
      <c r="E115" s="60"/>
      <c r="F115" s="60"/>
      <c r="G115" s="60"/>
      <c r="H115" s="60"/>
      <c r="I115" s="60"/>
      <c r="J115" s="60"/>
      <c r="K115" s="60"/>
      <c r="U115" s="16"/>
      <c r="V115" s="16"/>
      <c r="W115" s="16"/>
    </row>
    <row r="116" spans="1:23">
      <c r="D116" s="60"/>
      <c r="U116" s="16"/>
      <c r="V116" s="16"/>
      <c r="W116" s="16"/>
    </row>
    <row r="118" spans="1:23" ht="16.5" customHeight="1">
      <c r="A118" s="15">
        <v>15</v>
      </c>
      <c r="B118" s="17" t="s">
        <v>2</v>
      </c>
      <c r="C118" s="18" t="s">
        <v>31</v>
      </c>
      <c r="D118" s="59"/>
      <c r="E118" s="59"/>
      <c r="F118" s="59"/>
      <c r="G118" s="59"/>
      <c r="H118" s="59"/>
      <c r="I118" s="59"/>
      <c r="J118" s="59"/>
      <c r="K118" s="59"/>
    </row>
    <row r="119" spans="1:23" ht="16.5" customHeight="1">
      <c r="B119" s="67" t="s">
        <v>46</v>
      </c>
      <c r="C119" s="67" t="s">
        <v>88</v>
      </c>
      <c r="D119" s="68" t="s">
        <v>224</v>
      </c>
      <c r="E119" s="68" t="s">
        <v>225</v>
      </c>
      <c r="W119" s="16"/>
    </row>
    <row r="120" spans="1:23" ht="16.5" customHeight="1">
      <c r="B120" s="21" t="s">
        <v>56</v>
      </c>
      <c r="C120" s="21" t="s">
        <v>226</v>
      </c>
      <c r="D120" s="21" t="s">
        <v>153</v>
      </c>
      <c r="E120" s="21" t="s">
        <v>227</v>
      </c>
      <c r="W120" s="16"/>
    </row>
    <row r="121" spans="1:23" ht="16.5" customHeight="1">
      <c r="B121" s="21" t="s">
        <v>66</v>
      </c>
      <c r="C121" s="21" t="s">
        <v>66</v>
      </c>
      <c r="D121" s="21" t="s">
        <v>66</v>
      </c>
      <c r="E121" s="21" t="s">
        <v>72</v>
      </c>
      <c r="W121" s="16"/>
    </row>
    <row r="122" spans="1:23" ht="16.5" customHeight="1">
      <c r="B122" s="21" t="s">
        <v>46</v>
      </c>
      <c r="C122" s="21" t="s">
        <v>88</v>
      </c>
      <c r="D122" s="21" t="s">
        <v>88</v>
      </c>
      <c r="E122" s="21" t="s">
        <v>73</v>
      </c>
      <c r="V122" s="16"/>
      <c r="W122" s="16"/>
    </row>
    <row r="123" spans="1:23" s="49" customFormat="1" ht="16.5" customHeight="1">
      <c r="A123" s="15"/>
      <c r="B123" s="21" t="s">
        <v>74</v>
      </c>
      <c r="C123" s="21"/>
      <c r="D123" s="21"/>
      <c r="E123" s="21"/>
      <c r="F123" s="15"/>
      <c r="G123" s="15"/>
      <c r="H123" s="15"/>
      <c r="I123" s="15"/>
      <c r="J123" s="15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</row>
    <row r="124" spans="1:23" ht="16.5" customHeight="1">
      <c r="B124" s="60"/>
      <c r="C124" s="59"/>
      <c r="D124" s="60"/>
      <c r="E124" s="60"/>
      <c r="F124" s="60"/>
      <c r="G124" s="60"/>
      <c r="H124" s="60"/>
      <c r="I124" s="60"/>
      <c r="J124" s="60"/>
      <c r="W124" s="16"/>
    </row>
    <row r="125" spans="1:23" ht="16.5" customHeight="1">
      <c r="W125" s="16"/>
    </row>
    <row r="126" spans="1:23" ht="16.5" customHeight="1">
      <c r="W126" s="16"/>
    </row>
    <row r="128" spans="1:23" ht="16.5" customHeight="1">
      <c r="A128" s="15">
        <v>15</v>
      </c>
      <c r="B128" s="61" t="s">
        <v>2</v>
      </c>
      <c r="C128" s="62" t="s">
        <v>33</v>
      </c>
      <c r="D128" s="60"/>
      <c r="E128" s="60"/>
      <c r="F128" s="60"/>
      <c r="G128" s="60"/>
      <c r="H128" s="60"/>
      <c r="I128" s="60"/>
      <c r="J128" s="60"/>
    </row>
    <row r="129" spans="1:23" ht="16.5" customHeight="1">
      <c r="B129" s="67" t="s">
        <v>46</v>
      </c>
      <c r="C129" s="68" t="s">
        <v>228</v>
      </c>
      <c r="D129" s="68" t="s">
        <v>229</v>
      </c>
      <c r="E129" s="68" t="s">
        <v>230</v>
      </c>
      <c r="F129" s="67" t="s">
        <v>88</v>
      </c>
      <c r="G129" s="67" t="s">
        <v>88</v>
      </c>
      <c r="H129" s="68" t="s">
        <v>231</v>
      </c>
      <c r="I129" s="68" t="s">
        <v>232</v>
      </c>
    </row>
    <row r="130" spans="1:23" ht="16.5" customHeight="1">
      <c r="A130" s="46"/>
      <c r="B130" s="21" t="s">
        <v>56</v>
      </c>
      <c r="C130" s="21" t="s">
        <v>233</v>
      </c>
      <c r="D130" s="21" t="s">
        <v>234</v>
      </c>
      <c r="E130" s="21" t="s">
        <v>235</v>
      </c>
      <c r="F130" s="21" t="s">
        <v>236</v>
      </c>
      <c r="G130" s="56" t="s">
        <v>237</v>
      </c>
      <c r="H130" s="21" t="s">
        <v>238</v>
      </c>
      <c r="I130" s="21" t="s">
        <v>178</v>
      </c>
      <c r="J130" s="46"/>
      <c r="K130" s="46"/>
    </row>
    <row r="131" spans="1:23">
      <c r="B131" s="56" t="s">
        <v>66</v>
      </c>
      <c r="C131" s="21" t="s">
        <v>104</v>
      </c>
      <c r="D131" s="21" t="s">
        <v>71</v>
      </c>
      <c r="E131" s="21" t="s">
        <v>104</v>
      </c>
      <c r="F131" s="21" t="s">
        <v>66</v>
      </c>
      <c r="G131" s="56" t="s">
        <v>66</v>
      </c>
      <c r="H131" s="21" t="s">
        <v>189</v>
      </c>
      <c r="I131" s="21" t="s">
        <v>239</v>
      </c>
    </row>
    <row r="132" spans="1:23">
      <c r="B132" s="56" t="s">
        <v>46</v>
      </c>
      <c r="C132" s="21" t="s">
        <v>73</v>
      </c>
      <c r="D132" s="21" t="s">
        <v>240</v>
      </c>
      <c r="E132" s="21" t="s">
        <v>73</v>
      </c>
      <c r="F132" s="21"/>
      <c r="G132" s="21"/>
      <c r="H132" s="21" t="s">
        <v>73</v>
      </c>
      <c r="I132" s="21" t="s">
        <v>73</v>
      </c>
      <c r="W132" s="16"/>
    </row>
    <row r="133" spans="1:23">
      <c r="B133" s="56" t="s">
        <v>74</v>
      </c>
      <c r="C133" s="21"/>
      <c r="D133" s="21"/>
      <c r="E133" s="21"/>
      <c r="F133" s="21"/>
      <c r="G133" s="21"/>
      <c r="H133" s="21"/>
      <c r="I133" s="21"/>
      <c r="W133" s="16"/>
    </row>
    <row r="134" spans="1:23">
      <c r="B134" s="69"/>
      <c r="C134" s="69"/>
      <c r="D134" s="69"/>
      <c r="E134" s="70"/>
      <c r="F134" s="69"/>
      <c r="G134" s="69"/>
      <c r="H134" s="70"/>
      <c r="I134" s="71"/>
      <c r="J134" s="60"/>
      <c r="W134" s="16"/>
    </row>
    <row r="135" spans="1:23">
      <c r="W135" s="16"/>
    </row>
    <row r="136" spans="1:23">
      <c r="W136" s="16"/>
    </row>
    <row r="138" spans="1:23" ht="16.5" customHeight="1">
      <c r="A138" s="15">
        <v>17</v>
      </c>
      <c r="B138" s="17" t="s">
        <v>2</v>
      </c>
      <c r="C138" s="18" t="s">
        <v>34</v>
      </c>
    </row>
    <row r="139" spans="1:23" ht="16.5" customHeight="1">
      <c r="B139" s="72" t="s">
        <v>46</v>
      </c>
      <c r="C139" s="72" t="s">
        <v>88</v>
      </c>
      <c r="D139" s="72" t="s">
        <v>88</v>
      </c>
      <c r="E139" s="73" t="s">
        <v>241</v>
      </c>
      <c r="F139" s="73" t="s">
        <v>242</v>
      </c>
      <c r="G139" s="73" t="s">
        <v>243</v>
      </c>
      <c r="H139" s="73" t="s">
        <v>244</v>
      </c>
      <c r="I139" s="73" t="s">
        <v>245</v>
      </c>
      <c r="J139" s="73" t="s">
        <v>246</v>
      </c>
      <c r="K139" s="73" t="s">
        <v>247</v>
      </c>
      <c r="L139" s="73" t="s">
        <v>248</v>
      </c>
      <c r="M139" s="73" t="s">
        <v>54</v>
      </c>
    </row>
    <row r="140" spans="1:23">
      <c r="B140" s="21" t="s">
        <v>56</v>
      </c>
      <c r="C140" s="21" t="s">
        <v>249</v>
      </c>
      <c r="D140" s="21" t="s">
        <v>95</v>
      </c>
      <c r="E140" s="21" t="s">
        <v>250</v>
      </c>
      <c r="F140" s="21" t="s">
        <v>251</v>
      </c>
      <c r="G140" s="21" t="s">
        <v>252</v>
      </c>
      <c r="H140" s="21" t="s">
        <v>253</v>
      </c>
      <c r="I140" s="21" t="s">
        <v>254</v>
      </c>
      <c r="J140" s="21" t="s">
        <v>255</v>
      </c>
      <c r="K140" s="21" t="s">
        <v>256</v>
      </c>
      <c r="L140" s="21" t="s">
        <v>257</v>
      </c>
      <c r="M140" s="21" t="s">
        <v>64</v>
      </c>
    </row>
    <row r="141" spans="1:23">
      <c r="B141" s="21" t="s">
        <v>66</v>
      </c>
      <c r="C141" s="21" t="s">
        <v>66</v>
      </c>
      <c r="D141" s="21" t="s">
        <v>66</v>
      </c>
      <c r="E141" s="21" t="s">
        <v>71</v>
      </c>
      <c r="F141" s="21" t="s">
        <v>71</v>
      </c>
      <c r="G141" s="21" t="s">
        <v>71</v>
      </c>
      <c r="H141" s="21" t="s">
        <v>70</v>
      </c>
      <c r="I141" s="21" t="s">
        <v>68</v>
      </c>
      <c r="J141" s="21" t="s">
        <v>72</v>
      </c>
      <c r="K141" s="21" t="s">
        <v>72</v>
      </c>
      <c r="L141" s="21" t="s">
        <v>72</v>
      </c>
      <c r="M141" s="21" t="s">
        <v>72</v>
      </c>
      <c r="W141" s="16"/>
    </row>
    <row r="142" spans="1:23">
      <c r="B142" s="21" t="s">
        <v>46</v>
      </c>
      <c r="C142" s="21" t="s">
        <v>88</v>
      </c>
      <c r="D142" s="21" t="s">
        <v>88</v>
      </c>
      <c r="E142" s="74" t="s">
        <v>258</v>
      </c>
      <c r="F142" s="21" t="s">
        <v>379</v>
      </c>
      <c r="G142" s="21" t="s">
        <v>73</v>
      </c>
      <c r="H142" s="21"/>
      <c r="I142" s="21"/>
      <c r="J142" s="21" t="s">
        <v>73</v>
      </c>
      <c r="K142" s="21"/>
      <c r="L142" s="21"/>
      <c r="M142" s="21" t="s">
        <v>73</v>
      </c>
      <c r="W142" s="16"/>
    </row>
    <row r="143" spans="1:23">
      <c r="B143" s="21" t="s">
        <v>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W143" s="16"/>
    </row>
    <row r="144" spans="1:23">
      <c r="F144" s="75"/>
      <c r="G144" s="75"/>
      <c r="I144" s="16" t="s">
        <v>259</v>
      </c>
      <c r="W144" s="16"/>
    </row>
    <row r="145" spans="1:23">
      <c r="F145" s="75"/>
      <c r="G145" s="75"/>
      <c r="I145" s="16"/>
      <c r="W145" s="16"/>
    </row>
    <row r="147" spans="1:23" ht="16.5" customHeight="1">
      <c r="A147" s="15">
        <v>18</v>
      </c>
      <c r="B147" s="17" t="s">
        <v>2</v>
      </c>
      <c r="C147" s="18" t="s">
        <v>36</v>
      </c>
    </row>
    <row r="148" spans="1:23">
      <c r="B148" s="76" t="s">
        <v>46</v>
      </c>
      <c r="C148" s="76" t="s">
        <v>88</v>
      </c>
      <c r="D148" s="76" t="s">
        <v>88</v>
      </c>
      <c r="E148" s="76" t="s">
        <v>88</v>
      </c>
      <c r="F148" s="77" t="s">
        <v>260</v>
      </c>
      <c r="G148" s="77" t="s">
        <v>261</v>
      </c>
      <c r="H148" s="77" t="s">
        <v>262</v>
      </c>
      <c r="I148" s="77" t="s">
        <v>263</v>
      </c>
      <c r="J148" s="77" t="s">
        <v>54</v>
      </c>
      <c r="L148" s="78"/>
      <c r="M148" s="78"/>
    </row>
    <row r="149" spans="1:23">
      <c r="B149" s="21" t="s">
        <v>56</v>
      </c>
      <c r="C149" s="21" t="s">
        <v>264</v>
      </c>
      <c r="D149" s="21" t="s">
        <v>143</v>
      </c>
      <c r="E149" s="21" t="s">
        <v>265</v>
      </c>
      <c r="F149" s="21" t="s">
        <v>266</v>
      </c>
      <c r="G149" s="21" t="s">
        <v>267</v>
      </c>
      <c r="H149" s="21" t="s">
        <v>268</v>
      </c>
      <c r="I149" s="21" t="s">
        <v>269</v>
      </c>
      <c r="J149" s="21" t="s">
        <v>64</v>
      </c>
      <c r="L149" s="60"/>
      <c r="M149" s="60"/>
      <c r="N149" s="60"/>
      <c r="W149" s="16"/>
    </row>
    <row r="150" spans="1:23">
      <c r="B150" s="21" t="s">
        <v>66</v>
      </c>
      <c r="C150" s="21" t="s">
        <v>66</v>
      </c>
      <c r="D150" s="21" t="s">
        <v>66</v>
      </c>
      <c r="E150" s="21" t="s">
        <v>66</v>
      </c>
      <c r="F150" s="21" t="s">
        <v>71</v>
      </c>
      <c r="G150" s="21" t="s">
        <v>71</v>
      </c>
      <c r="H150" s="21" t="s">
        <v>70</v>
      </c>
      <c r="I150" s="21" t="s">
        <v>72</v>
      </c>
      <c r="J150" s="21" t="s">
        <v>72</v>
      </c>
      <c r="L150" s="60"/>
      <c r="M150" s="60"/>
      <c r="N150" s="60"/>
      <c r="W150" s="16"/>
    </row>
    <row r="151" spans="1:23">
      <c r="B151" s="21" t="s">
        <v>46</v>
      </c>
      <c r="C151" s="21" t="s">
        <v>88</v>
      </c>
      <c r="D151" s="21" t="s">
        <v>88</v>
      </c>
      <c r="E151" s="21" t="s">
        <v>88</v>
      </c>
      <c r="F151" s="21"/>
      <c r="G151" s="21"/>
      <c r="H151" s="21"/>
      <c r="I151" s="21"/>
      <c r="J151" s="21" t="s">
        <v>73</v>
      </c>
      <c r="L151" s="60"/>
      <c r="M151" s="60"/>
      <c r="N151" s="60"/>
      <c r="W151" s="16"/>
    </row>
    <row r="152" spans="1:23">
      <c r="B152" s="21" t="s">
        <v>74</v>
      </c>
      <c r="C152" s="21"/>
      <c r="D152" s="21"/>
      <c r="E152" s="21"/>
      <c r="F152" s="21"/>
      <c r="G152" s="21"/>
      <c r="H152" s="21"/>
      <c r="I152" s="21"/>
      <c r="J152" s="21"/>
      <c r="L152" s="60"/>
      <c r="M152" s="60"/>
      <c r="N152" s="60"/>
      <c r="W152" s="16"/>
    </row>
    <row r="153" spans="1:23">
      <c r="J153" s="23"/>
      <c r="K153" s="79"/>
      <c r="L153" s="60"/>
      <c r="M153" s="60"/>
      <c r="N153" s="60"/>
      <c r="W153" s="16"/>
    </row>
    <row r="155" spans="1:23" ht="16.5" customHeight="1">
      <c r="A155" s="15">
        <v>19</v>
      </c>
      <c r="B155" s="17" t="s">
        <v>2</v>
      </c>
      <c r="C155" s="18" t="s">
        <v>38</v>
      </c>
      <c r="D155" s="80" t="s">
        <v>270</v>
      </c>
      <c r="E155" s="81"/>
      <c r="F155" s="81"/>
      <c r="G155" s="81"/>
      <c r="H155" s="81"/>
      <c r="I155" s="81"/>
      <c r="J155" s="81"/>
      <c r="K155" s="81"/>
    </row>
    <row r="156" spans="1:23">
      <c r="B156" s="82" t="s">
        <v>46</v>
      </c>
      <c r="C156" s="82" t="s">
        <v>88</v>
      </c>
      <c r="D156" s="82" t="s">
        <v>88</v>
      </c>
      <c r="E156" s="83" t="s">
        <v>271</v>
      </c>
      <c r="F156" s="83" t="s">
        <v>272</v>
      </c>
      <c r="G156" s="83" t="s">
        <v>273</v>
      </c>
      <c r="H156" s="82" t="s">
        <v>88</v>
      </c>
      <c r="I156" s="83" t="s">
        <v>274</v>
      </c>
      <c r="J156" s="83" t="s">
        <v>275</v>
      </c>
      <c r="K156" s="83" t="s">
        <v>276</v>
      </c>
      <c r="L156" s="83" t="s">
        <v>197</v>
      </c>
    </row>
    <row r="157" spans="1:23">
      <c r="B157" s="21" t="s">
        <v>56</v>
      </c>
      <c r="C157" s="21" t="s">
        <v>207</v>
      </c>
      <c r="D157" s="21" t="s">
        <v>236</v>
      </c>
      <c r="E157" s="21" t="s">
        <v>277</v>
      </c>
      <c r="F157" s="21" t="s">
        <v>278</v>
      </c>
      <c r="G157" s="21" t="s">
        <v>279</v>
      </c>
      <c r="H157" s="21" t="s">
        <v>153</v>
      </c>
      <c r="I157" s="21" t="s">
        <v>280</v>
      </c>
      <c r="J157" s="21" t="s">
        <v>281</v>
      </c>
      <c r="K157" s="21" t="s">
        <v>282</v>
      </c>
      <c r="L157" s="21" t="s">
        <v>201</v>
      </c>
    </row>
    <row r="158" spans="1:23">
      <c r="B158" s="21" t="s">
        <v>66</v>
      </c>
      <c r="C158" s="21" t="s">
        <v>66</v>
      </c>
      <c r="D158" s="21" t="s">
        <v>66</v>
      </c>
      <c r="E158" s="21" t="s">
        <v>71</v>
      </c>
      <c r="F158" s="21" t="s">
        <v>68</v>
      </c>
      <c r="G158" s="21" t="s">
        <v>68</v>
      </c>
      <c r="H158" s="21" t="s">
        <v>66</v>
      </c>
      <c r="I158" s="21" t="s">
        <v>120</v>
      </c>
      <c r="J158" s="21" t="s">
        <v>70</v>
      </c>
      <c r="K158" s="21" t="s">
        <v>70</v>
      </c>
      <c r="L158" s="21" t="s">
        <v>72</v>
      </c>
    </row>
    <row r="159" spans="1:23">
      <c r="B159" s="21" t="s">
        <v>46</v>
      </c>
      <c r="C159" s="21" t="s">
        <v>88</v>
      </c>
      <c r="D159" s="21" t="s">
        <v>88</v>
      </c>
      <c r="E159" s="21"/>
      <c r="F159" s="21"/>
      <c r="G159" s="21"/>
      <c r="H159" s="21"/>
      <c r="I159" s="21"/>
      <c r="J159" s="21"/>
      <c r="K159" s="21"/>
      <c r="L159" s="21" t="s">
        <v>73</v>
      </c>
    </row>
    <row r="160" spans="1:23">
      <c r="B160" s="21" t="s">
        <v>74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</row>
    <row r="163" spans="1:23" ht="16.5" customHeight="1">
      <c r="A163" s="15">
        <v>20</v>
      </c>
      <c r="B163" s="17" t="s">
        <v>2</v>
      </c>
      <c r="C163" s="18" t="s">
        <v>40</v>
      </c>
    </row>
    <row r="164" spans="1:23">
      <c r="B164" s="84" t="s">
        <v>46</v>
      </c>
      <c r="C164" s="84" t="s">
        <v>88</v>
      </c>
      <c r="D164" s="84" t="s">
        <v>88</v>
      </c>
      <c r="E164" s="85" t="s">
        <v>283</v>
      </c>
      <c r="F164" s="85" t="s">
        <v>284</v>
      </c>
      <c r="G164" s="85" t="s">
        <v>172</v>
      </c>
    </row>
    <row r="165" spans="1:23">
      <c r="B165" s="21" t="s">
        <v>56</v>
      </c>
      <c r="C165" s="21" t="s">
        <v>112</v>
      </c>
      <c r="D165" s="21" t="s">
        <v>143</v>
      </c>
      <c r="E165" s="21" t="s">
        <v>285</v>
      </c>
      <c r="F165" s="21" t="s">
        <v>286</v>
      </c>
      <c r="G165" s="21" t="s">
        <v>178</v>
      </c>
    </row>
    <row r="166" spans="1:23">
      <c r="B166" s="21" t="s">
        <v>66</v>
      </c>
      <c r="C166" s="21" t="s">
        <v>66</v>
      </c>
      <c r="D166" s="21" t="s">
        <v>66</v>
      </c>
      <c r="E166" s="21" t="s">
        <v>104</v>
      </c>
      <c r="F166" s="21" t="s">
        <v>104</v>
      </c>
      <c r="G166" s="21" t="s">
        <v>72</v>
      </c>
    </row>
    <row r="167" spans="1:23">
      <c r="B167" s="21" t="s">
        <v>46</v>
      </c>
      <c r="C167" s="21" t="s">
        <v>88</v>
      </c>
      <c r="D167" s="21" t="s">
        <v>88</v>
      </c>
      <c r="E167" s="21"/>
      <c r="F167" s="21"/>
      <c r="G167" s="21" t="s">
        <v>73</v>
      </c>
    </row>
    <row r="168" spans="1:23">
      <c r="B168" s="21" t="s">
        <v>74</v>
      </c>
      <c r="C168" s="21"/>
      <c r="D168" s="21"/>
      <c r="E168" s="21"/>
      <c r="F168" s="21"/>
      <c r="G168" s="21"/>
    </row>
    <row r="171" spans="1:23" ht="16.5" customHeight="1">
      <c r="A171" s="15">
        <v>21</v>
      </c>
      <c r="B171" s="61" t="s">
        <v>2</v>
      </c>
      <c r="C171" s="62" t="s">
        <v>42</v>
      </c>
      <c r="D171" s="59"/>
      <c r="E171" s="59"/>
      <c r="F171" s="59"/>
    </row>
    <row r="172" spans="1:23">
      <c r="B172" s="86" t="s">
        <v>46</v>
      </c>
      <c r="C172" s="87" t="s">
        <v>287</v>
      </c>
      <c r="D172" s="87" t="s">
        <v>288</v>
      </c>
      <c r="E172" s="87" t="s">
        <v>54</v>
      </c>
      <c r="W172" s="16"/>
    </row>
    <row r="173" spans="1:23">
      <c r="B173" s="21" t="s">
        <v>56</v>
      </c>
      <c r="C173" s="21" t="s">
        <v>289</v>
      </c>
      <c r="D173" s="21" t="s">
        <v>290</v>
      </c>
      <c r="E173" s="21" t="s">
        <v>64</v>
      </c>
      <c r="W173" s="16"/>
    </row>
    <row r="174" spans="1:23">
      <c r="B174" s="21" t="s">
        <v>66</v>
      </c>
      <c r="C174" s="21" t="s">
        <v>71</v>
      </c>
      <c r="D174" s="21" t="s">
        <v>71</v>
      </c>
      <c r="E174" s="21" t="s">
        <v>72</v>
      </c>
      <c r="W174" s="16"/>
    </row>
    <row r="175" spans="1:23">
      <c r="B175" s="21" t="s">
        <v>46</v>
      </c>
      <c r="C175" s="21"/>
      <c r="D175" s="21" t="s">
        <v>73</v>
      </c>
      <c r="E175" s="21" t="s">
        <v>73</v>
      </c>
      <c r="W175" s="16"/>
    </row>
    <row r="176" spans="1:23">
      <c r="B176" s="21" t="s">
        <v>74</v>
      </c>
      <c r="C176" s="21" t="s">
        <v>75</v>
      </c>
      <c r="D176" s="21"/>
      <c r="E176" s="21"/>
      <c r="W176" s="16"/>
    </row>
    <row r="179" spans="1:7" ht="16.5" customHeight="1">
      <c r="A179" s="15">
        <v>22</v>
      </c>
      <c r="B179" s="61" t="s">
        <v>2</v>
      </c>
      <c r="C179" s="62" t="s">
        <v>44</v>
      </c>
      <c r="D179" s="59"/>
      <c r="E179" s="59"/>
      <c r="F179" s="59"/>
      <c r="G179" s="60"/>
    </row>
    <row r="180" spans="1:7" ht="16.5" customHeight="1">
      <c r="B180" s="88" t="s">
        <v>46</v>
      </c>
      <c r="C180" s="89" t="s">
        <v>224</v>
      </c>
      <c r="D180" s="89" t="s">
        <v>291</v>
      </c>
      <c r="E180" s="89" t="s">
        <v>54</v>
      </c>
    </row>
    <row r="181" spans="1:7" ht="16.5" customHeight="1">
      <c r="B181" s="21" t="s">
        <v>56</v>
      </c>
      <c r="C181" s="21" t="s">
        <v>292</v>
      </c>
      <c r="D181" s="21" t="s">
        <v>293</v>
      </c>
      <c r="E181" s="21" t="s">
        <v>64</v>
      </c>
    </row>
    <row r="182" spans="1:7" ht="16.5" customHeight="1">
      <c r="B182" s="21" t="s">
        <v>66</v>
      </c>
      <c r="C182" s="21" t="s">
        <v>71</v>
      </c>
      <c r="D182" s="21" t="s">
        <v>71</v>
      </c>
      <c r="E182" s="21" t="s">
        <v>72</v>
      </c>
    </row>
    <row r="183" spans="1:7" ht="16.5" customHeight="1">
      <c r="B183" s="21" t="s">
        <v>46</v>
      </c>
      <c r="C183" s="21"/>
      <c r="D183" s="21" t="s">
        <v>73</v>
      </c>
      <c r="E183" s="21" t="s">
        <v>73</v>
      </c>
    </row>
    <row r="184" spans="1:7" ht="16.5" customHeight="1">
      <c r="B184" s="21" t="s">
        <v>74</v>
      </c>
      <c r="C184" s="21" t="s">
        <v>75</v>
      </c>
      <c r="D184" s="21"/>
      <c r="E184" s="21"/>
    </row>
    <row r="185" spans="1:7" ht="16.5" customHeight="1">
      <c r="D185" s="59"/>
    </row>
  </sheetData>
  <mergeCells count="2">
    <mergeCell ref="C47:D47"/>
    <mergeCell ref="C55:D55"/>
  </mergeCells>
  <phoneticPr fontId="20" type="noConversion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7"/>
  <sheetViews>
    <sheetView showGridLines="0" zoomScaleNormal="100" workbookViewId="0">
      <selection activeCell="E11" sqref="E11"/>
    </sheetView>
  </sheetViews>
  <sheetFormatPr defaultColWidth="9" defaultRowHeight="16.5"/>
  <cols>
    <col min="1" max="1" width="4.375" style="90" customWidth="1"/>
    <col min="2" max="2" width="17.5" style="90" customWidth="1"/>
    <col min="3" max="3" width="24.5" style="90" customWidth="1"/>
    <col min="4" max="4" width="26.25" style="90" customWidth="1"/>
    <col min="5" max="5" width="38.5" style="90" customWidth="1"/>
    <col min="6" max="6" width="35" style="90" customWidth="1"/>
    <col min="7" max="7" width="24.5" style="90" customWidth="1"/>
    <col min="8" max="8" width="21" style="90" customWidth="1"/>
    <col min="9" max="9" width="19.25" style="90" customWidth="1"/>
    <col min="10" max="12" width="15.75" style="90" customWidth="1"/>
    <col min="13" max="16384" width="9" style="90"/>
  </cols>
  <sheetData>
    <row r="2" spans="2:6" ht="63">
      <c r="B2" s="91" t="s">
        <v>294</v>
      </c>
      <c r="C2" s="92" t="s">
        <v>295</v>
      </c>
    </row>
    <row r="3" spans="2:6">
      <c r="B3" s="31" t="s">
        <v>2</v>
      </c>
      <c r="C3" s="31" t="s">
        <v>296</v>
      </c>
      <c r="D3" s="31" t="s">
        <v>297</v>
      </c>
      <c r="E3" s="31" t="s">
        <v>298</v>
      </c>
      <c r="F3" s="31" t="s">
        <v>299</v>
      </c>
    </row>
    <row r="4" spans="2:6" ht="33">
      <c r="B4" s="93" t="s">
        <v>10</v>
      </c>
      <c r="C4" s="93" t="s">
        <v>112</v>
      </c>
      <c r="D4" s="94" t="s">
        <v>300</v>
      </c>
      <c r="E4" s="93" t="s">
        <v>301</v>
      </c>
      <c r="F4" s="93" t="s">
        <v>302</v>
      </c>
    </row>
    <row r="5" spans="2:6" ht="33">
      <c r="B5" s="93" t="s">
        <v>10</v>
      </c>
      <c r="C5" s="93" t="s">
        <v>113</v>
      </c>
      <c r="D5" s="94" t="s">
        <v>303</v>
      </c>
      <c r="E5" s="94" t="s">
        <v>304</v>
      </c>
      <c r="F5" s="93" t="s">
        <v>305</v>
      </c>
    </row>
    <row r="6" spans="2:6" ht="33">
      <c r="B6" s="93" t="s">
        <v>10</v>
      </c>
      <c r="C6" s="93" t="s">
        <v>114</v>
      </c>
      <c r="D6" s="94" t="s">
        <v>306</v>
      </c>
      <c r="E6" s="94" t="s">
        <v>123</v>
      </c>
      <c r="F6" s="94" t="s">
        <v>307</v>
      </c>
    </row>
    <row r="7" spans="2:6" ht="33">
      <c r="B7" s="93" t="s">
        <v>10</v>
      </c>
      <c r="C7" s="93" t="s">
        <v>115</v>
      </c>
      <c r="D7" s="94" t="s">
        <v>308</v>
      </c>
      <c r="E7" s="94" t="s">
        <v>309</v>
      </c>
      <c r="F7" s="93" t="s">
        <v>310</v>
      </c>
    </row>
    <row r="8" spans="2:6" ht="33">
      <c r="B8" s="93" t="s">
        <v>10</v>
      </c>
      <c r="C8" s="93" t="s">
        <v>116</v>
      </c>
      <c r="D8" s="94" t="s">
        <v>311</v>
      </c>
      <c r="E8" s="94" t="s">
        <v>125</v>
      </c>
      <c r="F8" s="94" t="s">
        <v>312</v>
      </c>
    </row>
    <row r="9" spans="2:6" ht="33">
      <c r="B9" s="93" t="s">
        <v>10</v>
      </c>
      <c r="C9" s="93" t="s">
        <v>117</v>
      </c>
      <c r="D9" s="93" t="s">
        <v>313</v>
      </c>
      <c r="E9" s="94" t="s">
        <v>314</v>
      </c>
      <c r="F9" s="94" t="s">
        <v>126</v>
      </c>
    </row>
    <row r="10" spans="2:6" ht="33">
      <c r="B10" s="93" t="s">
        <v>10</v>
      </c>
      <c r="C10" s="93" t="s">
        <v>118</v>
      </c>
      <c r="D10" s="94" t="s">
        <v>315</v>
      </c>
      <c r="E10" s="94" t="s">
        <v>316</v>
      </c>
      <c r="F10" s="94" t="s">
        <v>317</v>
      </c>
    </row>
    <row r="11" spans="2:6" ht="99">
      <c r="B11" s="93" t="s">
        <v>18</v>
      </c>
      <c r="C11" s="93" t="s">
        <v>153</v>
      </c>
      <c r="D11" s="94" t="s">
        <v>318</v>
      </c>
      <c r="E11" s="93" t="s">
        <v>319</v>
      </c>
      <c r="F11" s="94" t="s">
        <v>320</v>
      </c>
    </row>
    <row r="12" spans="2:6" ht="82.5">
      <c r="B12" s="93" t="s">
        <v>18</v>
      </c>
      <c r="C12" s="93" t="s">
        <v>154</v>
      </c>
      <c r="D12" s="94" t="s">
        <v>321</v>
      </c>
      <c r="E12" s="93" t="s">
        <v>322</v>
      </c>
      <c r="F12" s="94" t="s">
        <v>323</v>
      </c>
    </row>
    <row r="13" spans="2:6" ht="33">
      <c r="B13" s="93" t="s">
        <v>18</v>
      </c>
      <c r="C13" s="93" t="s">
        <v>155</v>
      </c>
      <c r="D13" s="94" t="s">
        <v>324</v>
      </c>
      <c r="E13" s="94" t="s">
        <v>325</v>
      </c>
      <c r="F13" s="93" t="s">
        <v>326</v>
      </c>
    </row>
    <row r="14" spans="2:6" ht="33">
      <c r="B14" s="93" t="s">
        <v>18</v>
      </c>
      <c r="C14" s="93" t="s">
        <v>156</v>
      </c>
      <c r="D14" s="94" t="s">
        <v>327</v>
      </c>
      <c r="E14" s="94" t="s">
        <v>328</v>
      </c>
      <c r="F14" s="93" t="s">
        <v>329</v>
      </c>
    </row>
    <row r="15" spans="2:6" ht="33">
      <c r="B15" s="93" t="s">
        <v>18</v>
      </c>
      <c r="C15" s="93" t="s">
        <v>157</v>
      </c>
      <c r="D15" s="93" t="s">
        <v>330</v>
      </c>
      <c r="E15" s="93" t="s">
        <v>331</v>
      </c>
      <c r="F15" s="94" t="s">
        <v>332</v>
      </c>
    </row>
    <row r="16" spans="2:6" ht="33">
      <c r="B16" s="93" t="s">
        <v>18</v>
      </c>
      <c r="C16" s="93" t="s">
        <v>118</v>
      </c>
      <c r="D16" s="94" t="s">
        <v>333</v>
      </c>
      <c r="E16" s="94" t="s">
        <v>334</v>
      </c>
      <c r="F16" s="93" t="s">
        <v>335</v>
      </c>
    </row>
    <row r="17" spans="2:6" ht="33">
      <c r="B17" s="93" t="s">
        <v>18</v>
      </c>
      <c r="C17" s="93" t="s">
        <v>158</v>
      </c>
      <c r="D17" s="94" t="s">
        <v>336</v>
      </c>
      <c r="E17" s="93" t="s">
        <v>337</v>
      </c>
      <c r="F17" s="93" t="s">
        <v>338</v>
      </c>
    </row>
  </sheetData>
  <phoneticPr fontId="2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showGridLines="0" zoomScaleNormal="100" workbookViewId="0">
      <selection activeCell="H23" sqref="H23"/>
    </sheetView>
  </sheetViews>
  <sheetFormatPr defaultColWidth="9" defaultRowHeight="16.5"/>
  <cols>
    <col min="1" max="1" width="4.375" style="90" customWidth="1"/>
    <col min="2" max="2" width="17.5" style="90" customWidth="1"/>
    <col min="3" max="3" width="24.5" style="90" customWidth="1"/>
    <col min="4" max="4" width="26.25" style="90" customWidth="1"/>
    <col min="5" max="5" width="38.5" style="90" customWidth="1"/>
    <col min="6" max="6" width="35" style="90" customWidth="1"/>
    <col min="7" max="7" width="24.5" style="90" customWidth="1"/>
    <col min="8" max="8" width="21" style="90" customWidth="1"/>
    <col min="9" max="9" width="19.25" style="90" customWidth="1"/>
    <col min="10" max="12" width="15.75" style="90" customWidth="1"/>
    <col min="13" max="16384" width="9" style="90"/>
  </cols>
  <sheetData>
    <row r="2" spans="2:10" ht="46.5">
      <c r="B2" s="91" t="s">
        <v>339</v>
      </c>
      <c r="C2" s="95" t="s">
        <v>340</v>
      </c>
    </row>
    <row r="3" spans="2:10">
      <c r="B3" s="91" t="s">
        <v>2</v>
      </c>
      <c r="C3" s="96" t="s">
        <v>10</v>
      </c>
    </row>
    <row r="4" spans="2:10">
      <c r="B4" s="30" t="s">
        <v>56</v>
      </c>
      <c r="C4" s="30" t="s">
        <v>112</v>
      </c>
      <c r="D4" s="30" t="s">
        <v>113</v>
      </c>
      <c r="E4" s="30" t="s">
        <v>114</v>
      </c>
      <c r="F4" s="30" t="s">
        <v>115</v>
      </c>
      <c r="G4" s="30" t="s">
        <v>116</v>
      </c>
      <c r="H4" s="30" t="s">
        <v>117</v>
      </c>
      <c r="I4" s="30" t="s">
        <v>118</v>
      </c>
    </row>
    <row r="5" spans="2:10">
      <c r="B5" s="32">
        <v>1</v>
      </c>
      <c r="C5" s="32">
        <v>1</v>
      </c>
      <c r="D5" s="32">
        <v>80</v>
      </c>
      <c r="E5" s="32" t="s">
        <v>341</v>
      </c>
      <c r="F5" s="32">
        <v>600</v>
      </c>
      <c r="G5" s="32" t="s">
        <v>342</v>
      </c>
      <c r="H5" s="32">
        <v>480</v>
      </c>
      <c r="I5" s="32">
        <v>7</v>
      </c>
    </row>
    <row r="7" spans="2:10">
      <c r="B7" s="91" t="s">
        <v>2</v>
      </c>
      <c r="C7" s="96" t="s">
        <v>18</v>
      </c>
    </row>
    <row r="8" spans="2:10">
      <c r="B8" s="30" t="s">
        <v>56</v>
      </c>
      <c r="C8" s="30" t="s">
        <v>112</v>
      </c>
      <c r="D8" s="30" t="s">
        <v>343</v>
      </c>
      <c r="E8" s="30" t="s">
        <v>154</v>
      </c>
      <c r="F8" s="30" t="s">
        <v>155</v>
      </c>
      <c r="G8" s="30" t="s">
        <v>156</v>
      </c>
      <c r="H8" s="30" t="s">
        <v>157</v>
      </c>
      <c r="I8" s="30" t="s">
        <v>118</v>
      </c>
      <c r="J8" s="30" t="s">
        <v>158</v>
      </c>
    </row>
    <row r="9" spans="2:10">
      <c r="B9" s="94">
        <v>1</v>
      </c>
      <c r="C9" s="94">
        <v>1</v>
      </c>
      <c r="D9" s="93" t="s">
        <v>344</v>
      </c>
      <c r="E9" s="93" t="s">
        <v>345</v>
      </c>
      <c r="F9" s="93" t="s">
        <v>346</v>
      </c>
      <c r="G9" s="94">
        <v>3</v>
      </c>
      <c r="H9" s="93" t="s">
        <v>347</v>
      </c>
      <c r="I9" s="94"/>
      <c r="J9" s="97" t="b">
        <f>TRUE()</f>
        <v>1</v>
      </c>
    </row>
    <row r="10" spans="2:10">
      <c r="B10" s="94">
        <v>2</v>
      </c>
      <c r="C10" s="94">
        <v>1</v>
      </c>
      <c r="D10" s="93" t="s">
        <v>348</v>
      </c>
      <c r="E10" s="93" t="s">
        <v>349</v>
      </c>
      <c r="F10" s="93" t="s">
        <v>346</v>
      </c>
      <c r="G10" s="94">
        <v>30</v>
      </c>
      <c r="H10" s="93" t="s">
        <v>350</v>
      </c>
      <c r="I10" s="94">
        <v>7</v>
      </c>
      <c r="J10" s="97" t="b">
        <f>TRUE()</f>
        <v>1</v>
      </c>
    </row>
    <row r="11" spans="2:10">
      <c r="B11" s="94">
        <v>3</v>
      </c>
      <c r="C11" s="94">
        <v>1</v>
      </c>
      <c r="D11" s="93" t="s">
        <v>348</v>
      </c>
      <c r="E11" s="93" t="s">
        <v>351</v>
      </c>
      <c r="F11" s="93" t="s">
        <v>346</v>
      </c>
      <c r="G11" s="94">
        <v>600</v>
      </c>
      <c r="H11" s="93" t="s">
        <v>352</v>
      </c>
      <c r="I11" s="94"/>
      <c r="J11" s="97" t="b">
        <f>TRUE()</f>
        <v>1</v>
      </c>
    </row>
    <row r="12" spans="2:10">
      <c r="B12" s="94">
        <v>4</v>
      </c>
      <c r="C12" s="94">
        <v>1</v>
      </c>
      <c r="D12" s="93" t="s">
        <v>353</v>
      </c>
      <c r="E12" s="93" t="s">
        <v>354</v>
      </c>
      <c r="F12" s="93" t="s">
        <v>346</v>
      </c>
      <c r="G12" s="94">
        <v>2</v>
      </c>
      <c r="H12" s="93" t="s">
        <v>355</v>
      </c>
      <c r="I12" s="94"/>
      <c r="J12" s="97" t="b">
        <f>TRUE()</f>
        <v>1</v>
      </c>
    </row>
    <row r="13" spans="2:10">
      <c r="B13" s="94">
        <v>5</v>
      </c>
      <c r="C13" s="94">
        <v>1</v>
      </c>
      <c r="D13" s="93" t="s">
        <v>356</v>
      </c>
      <c r="E13" s="93" t="s">
        <v>357</v>
      </c>
      <c r="F13" s="93" t="s">
        <v>346</v>
      </c>
      <c r="G13" s="94">
        <v>30</v>
      </c>
      <c r="H13" s="93" t="s">
        <v>350</v>
      </c>
      <c r="I13" s="94">
        <v>7</v>
      </c>
      <c r="J13" s="97" t="b">
        <f>TRUE()</f>
        <v>1</v>
      </c>
    </row>
    <row r="14" spans="2:10">
      <c r="B14" s="94">
        <v>6</v>
      </c>
      <c r="C14" s="94">
        <v>1</v>
      </c>
      <c r="D14" s="93" t="s">
        <v>358</v>
      </c>
      <c r="E14" s="93" t="s">
        <v>359</v>
      </c>
      <c r="F14" s="93" t="s">
        <v>346</v>
      </c>
      <c r="G14" s="94">
        <v>120</v>
      </c>
      <c r="H14" s="93" t="s">
        <v>360</v>
      </c>
      <c r="I14" s="94"/>
      <c r="J14" s="97" t="b">
        <f>TRUE()</f>
        <v>1</v>
      </c>
    </row>
    <row r="15" spans="2:10">
      <c r="B15" s="94">
        <v>7</v>
      </c>
      <c r="C15" s="94">
        <v>1</v>
      </c>
      <c r="D15" s="93" t="s">
        <v>358</v>
      </c>
      <c r="E15" s="93" t="s">
        <v>361</v>
      </c>
      <c r="F15" s="93" t="s">
        <v>346</v>
      </c>
      <c r="G15" s="94">
        <v>30</v>
      </c>
      <c r="H15" s="93" t="s">
        <v>350</v>
      </c>
      <c r="I15" s="94"/>
      <c r="J15" s="97" t="b">
        <f>TRUE()</f>
        <v>1</v>
      </c>
    </row>
    <row r="16" spans="2:10">
      <c r="B16" s="94">
        <v>8</v>
      </c>
      <c r="C16" s="94">
        <v>1</v>
      </c>
      <c r="D16" s="93" t="s">
        <v>362</v>
      </c>
      <c r="E16" s="93" t="s">
        <v>363</v>
      </c>
      <c r="F16" s="93" t="s">
        <v>346</v>
      </c>
      <c r="G16" s="94">
        <v>60</v>
      </c>
      <c r="H16" s="93" t="s">
        <v>352</v>
      </c>
      <c r="I16" s="94"/>
      <c r="J16" s="97" t="b">
        <f>TRUE()</f>
        <v>1</v>
      </c>
    </row>
    <row r="17" spans="2:10">
      <c r="B17" s="94">
        <v>9</v>
      </c>
      <c r="C17" s="94">
        <v>1</v>
      </c>
      <c r="D17" s="93" t="s">
        <v>362</v>
      </c>
      <c r="E17" s="93" t="s">
        <v>364</v>
      </c>
      <c r="F17" s="93" t="s">
        <v>346</v>
      </c>
      <c r="G17" s="94">
        <v>5</v>
      </c>
      <c r="H17" s="93" t="s">
        <v>365</v>
      </c>
      <c r="I17" s="94"/>
      <c r="J17" s="97" t="b">
        <f>TRUE()</f>
        <v>1</v>
      </c>
    </row>
    <row r="18" spans="2:10">
      <c r="B18" s="94">
        <v>10</v>
      </c>
      <c r="C18" s="94">
        <v>1</v>
      </c>
      <c r="D18" s="93" t="s">
        <v>366</v>
      </c>
      <c r="E18" s="93" t="s">
        <v>364</v>
      </c>
      <c r="F18" s="93" t="s">
        <v>346</v>
      </c>
      <c r="G18" s="94">
        <v>2</v>
      </c>
      <c r="H18" s="93" t="s">
        <v>365</v>
      </c>
      <c r="I18" s="94"/>
      <c r="J18" s="97" t="b">
        <f>TRUE()</f>
        <v>1</v>
      </c>
    </row>
    <row r="21" spans="2:10">
      <c r="B21" s="91" t="s">
        <v>367</v>
      </c>
      <c r="C21" s="96" t="s">
        <v>368</v>
      </c>
    </row>
    <row r="22" spans="2:10">
      <c r="B22" s="31" t="s">
        <v>369</v>
      </c>
      <c r="C22" s="31" t="s">
        <v>370</v>
      </c>
      <c r="D22" s="30" t="s">
        <v>187</v>
      </c>
      <c r="E22" s="31" t="s">
        <v>371</v>
      </c>
      <c r="F22" s="31" t="s">
        <v>3</v>
      </c>
    </row>
    <row r="23" spans="2:10" ht="49.5">
      <c r="B23" s="93" t="s">
        <v>372</v>
      </c>
      <c r="C23" s="93" t="s">
        <v>373</v>
      </c>
      <c r="D23" s="97" t="b">
        <f>FALSE()</f>
        <v>0</v>
      </c>
      <c r="E23" s="94" t="s">
        <v>374</v>
      </c>
      <c r="F23" s="93" t="s">
        <v>375</v>
      </c>
    </row>
    <row r="24" spans="2:10" ht="49.5">
      <c r="B24" s="93" t="s">
        <v>372</v>
      </c>
      <c r="C24" s="93" t="s">
        <v>376</v>
      </c>
      <c r="D24" s="97" t="b">
        <f>FALSE()</f>
        <v>0</v>
      </c>
      <c r="E24" s="93" t="s">
        <v>377</v>
      </c>
      <c r="F24" s="93" t="s">
        <v>378</v>
      </c>
    </row>
  </sheetData>
  <phoneticPr fontId="20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테이블 목록</vt:lpstr>
      <vt:lpstr>테이블</vt:lpstr>
      <vt:lpstr>컬럼 해석</vt:lpstr>
      <vt:lpstr>샘플 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osy01</dc:creator>
  <dc:description/>
  <cp:lastModifiedBy>DW-203</cp:lastModifiedBy>
  <cp:revision>4</cp:revision>
  <dcterms:created xsi:type="dcterms:W3CDTF">2026-03-24T22:42:00Z</dcterms:created>
  <dcterms:modified xsi:type="dcterms:W3CDTF">2026-04-08T05:59:58Z</dcterms:modified>
  <dc:language>en-US</dc:language>
</cp:coreProperties>
</file>